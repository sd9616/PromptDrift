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13_ncr:1_{84AD6E6C-11CF-FE49-82AD-B99CB3120B39}" xr6:coauthVersionLast="47" xr6:coauthVersionMax="47" xr10:uidLastSave="{00000000-0000-0000-0000-000000000000}"/>
  <bookViews>
    <workbookView xWindow="0" yWindow="660" windowWidth="29400" windowHeight="16880" xr2:uid="{00000000-000D-0000-FFFF-FFFF00000000}"/>
  </bookViews>
  <sheets>
    <sheet name="pivot_table" sheetId="2" r:id="rId1"/>
    <sheet name="gemini_pro_bullet_prompt_result" sheetId="1" r:id="rId2"/>
  </sheets>
  <definedNames>
    <definedName name="_xlnm._FilterDatabase" localSheetId="1" hidden="1">gemini_pro_bullet_prompt_result!$A$1:$I$123</definedName>
  </definedNames>
  <calcPr calcId="191029"/>
  <pivotCaches>
    <pivotCache cacheId="12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V3" i="1" a="1"/>
  <c r="V3" i="1" s="1"/>
  <c r="V4" i="1" a="1"/>
  <c r="V4" i="1"/>
  <c r="V5" i="1" a="1"/>
  <c r="V5" i="1" s="1"/>
  <c r="V6" i="1" a="1"/>
  <c r="V6" i="1"/>
  <c r="V7" i="1" a="1"/>
  <c r="V7" i="1" s="1"/>
  <c r="V8" i="1" a="1"/>
  <c r="V8" i="1"/>
  <c r="V9" i="1" a="1"/>
  <c r="V9" i="1" s="1"/>
  <c r="V10" i="1" a="1"/>
  <c r="V10" i="1"/>
  <c r="V11" i="1" a="1"/>
  <c r="V11" i="1" s="1"/>
  <c r="V12" i="1" a="1"/>
  <c r="V12" i="1"/>
  <c r="V13" i="1" a="1"/>
  <c r="V13" i="1" s="1"/>
  <c r="V14" i="1" a="1"/>
  <c r="V14" i="1"/>
  <c r="V15" i="1" a="1"/>
  <c r="V15" i="1" s="1"/>
  <c r="V16" i="1" a="1"/>
  <c r="V16" i="1" s="1"/>
  <c r="V17" i="1" a="1"/>
  <c r="V17" i="1" s="1"/>
  <c r="V18" i="1" a="1"/>
  <c r="V18" i="1"/>
  <c r="V19" i="1" a="1"/>
  <c r="V19" i="1" s="1"/>
  <c r="V20" i="1" a="1"/>
  <c r="V20" i="1" s="1"/>
  <c r="V21" i="1" a="1"/>
  <c r="V21" i="1" s="1"/>
  <c r="V22" i="1" a="1"/>
  <c r="V22" i="1"/>
  <c r="V23" i="1" a="1"/>
  <c r="V23" i="1" s="1"/>
  <c r="V24" i="1" a="1"/>
  <c r="V24" i="1" s="1"/>
  <c r="V25" i="1" a="1"/>
  <c r="V25" i="1" s="1"/>
  <c r="V26" i="1" a="1"/>
  <c r="V26" i="1"/>
  <c r="V27" i="1" a="1"/>
  <c r="V27" i="1" s="1"/>
  <c r="V28" i="1" a="1"/>
  <c r="V28" i="1" s="1"/>
  <c r="V29" i="1" a="1"/>
  <c r="V29" i="1" s="1"/>
  <c r="V30" i="1" a="1"/>
  <c r="V30" i="1"/>
  <c r="V31" i="1" a="1"/>
  <c r="V31" i="1" s="1"/>
  <c r="V32" i="1" a="1"/>
  <c r="V32" i="1" s="1"/>
  <c r="V33" i="1" a="1"/>
  <c r="V33" i="1" s="1"/>
  <c r="V34" i="1" a="1"/>
  <c r="V34" i="1"/>
  <c r="V35" i="1" a="1"/>
  <c r="V35" i="1" s="1"/>
  <c r="V36" i="1" a="1"/>
  <c r="V36" i="1" s="1"/>
  <c r="V37" i="1" a="1"/>
  <c r="V37" i="1" s="1"/>
  <c r="V38" i="1" a="1"/>
  <c r="V38" i="1"/>
  <c r="V39" i="1" a="1"/>
  <c r="V39" i="1" s="1"/>
  <c r="V40" i="1" a="1"/>
  <c r="V40" i="1" s="1"/>
  <c r="V41" i="1" a="1"/>
  <c r="V41" i="1" s="1"/>
  <c r="V42" i="1" a="1"/>
  <c r="V42" i="1"/>
  <c r="V43" i="1" a="1"/>
  <c r="V43" i="1" s="1"/>
  <c r="V44" i="1" a="1"/>
  <c r="V44" i="1" s="1"/>
  <c r="V45" i="1" a="1"/>
  <c r="V45" i="1" s="1"/>
  <c r="V46" i="1" a="1"/>
  <c r="V46" i="1"/>
  <c r="V47" i="1" a="1"/>
  <c r="V47" i="1" s="1"/>
  <c r="V48" i="1" a="1"/>
  <c r="V48" i="1" s="1"/>
  <c r="V49" i="1" a="1"/>
  <c r="V49" i="1" s="1"/>
  <c r="V50" i="1" a="1"/>
  <c r="V50" i="1"/>
  <c r="V51" i="1" a="1"/>
  <c r="V51" i="1" s="1"/>
  <c r="V52" i="1" a="1"/>
  <c r="V52" i="1" s="1"/>
  <c r="V53" i="1" a="1"/>
  <c r="V53" i="1" s="1"/>
  <c r="V54" i="1" a="1"/>
  <c r="V54" i="1"/>
  <c r="V55" i="1" a="1"/>
  <c r="V55" i="1" s="1"/>
  <c r="V56" i="1" a="1"/>
  <c r="V56" i="1" s="1"/>
  <c r="V57" i="1" a="1"/>
  <c r="V57" i="1" s="1"/>
  <c r="V58" i="1" a="1"/>
  <c r="V58" i="1"/>
  <c r="V59" i="1" a="1"/>
  <c r="V59" i="1" s="1"/>
  <c r="V60" i="1" a="1"/>
  <c r="V60" i="1" s="1"/>
  <c r="V61" i="1" a="1"/>
  <c r="V61" i="1" s="1"/>
  <c r="V62" i="1" a="1"/>
  <c r="V62" i="1"/>
  <c r="V63" i="1" a="1"/>
  <c r="V63" i="1" s="1"/>
  <c r="V64" i="1" a="1"/>
  <c r="V64" i="1" s="1"/>
  <c r="V65" i="1" a="1"/>
  <c r="V65" i="1" s="1"/>
  <c r="V66" i="1" a="1"/>
  <c r="V66" i="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2" i="1" a="1"/>
  <c r="V2" i="1"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2" i="1"/>
  <c r="W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<sst xmlns="http://schemas.openxmlformats.org/spreadsheetml/2006/main" count="1168" uniqueCount="636">
  <si>
    <t>Cli</t>
  </si>
  <si>
    <t xml:space="preserve">
Bug report URL: https://issues.apache.org/jira/browse/CLI-13
Original files:
---FILE_START---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</si>
  <si>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success</t>
  </si>
  <si>
    <t>org.apache.commons.cli.bug.BugCLI13Test::testCLI13</t>
  </si>
  <si>
    <t xml:space="preserve">
Bug report URL: https://issues.apache.org/jira/browse/CLI-1
Original files:
---FILE_START---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
        }
        return (String[]) tokens.toArray(new String[tokens.size()]);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</si>
  <si>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https://issues.apache.org/jira/browse/CLI-158
Original files:
---FILE_START---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</si>
  <si>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https://issues.apache.org/jira/browse/CLI-182
Original files:
---FILE_START---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</si>
  <si>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https://issues.apache.org/jira/browse/CLI-185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</si>
  <si>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org.apache.commons.cli.UtilTest::testStripLeadingAndTrailingQuotes</t>
  </si>
  <si>
    <t xml:space="preserve">
Bug report URL: https://issues.apache.org/jira/browse/CLI-1
Original files:
---FILE_START---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Date date = null;
        if (date == null)
        {
            System.err.println("Unable to parse: " + str);
        }
        return date;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to implement/port:
        //        return FileW.findFiles(str);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</si>
  <si>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https://issues.apache.org/jira/browse/CLI-274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</si>
  <si>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https://issues.apache.org/jira/browse/CLI-282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</si>
  <si>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https://issues.apache.org/jira/browse/CLI-133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</si>
  <si>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https://issues.apache.org/jira/browse/CLI-121
Original files:
---FILE_START---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</si>
  <si>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org.apache.commons.cli2.bug.Bug27575Test::testRequiredOptions;org.apache.commons.cli2.validation.FileValidatorTest::testValidate_WritableFile</t>
  </si>
  <si>
    <t>Closure</t>
  </si>
  <si>
    <t xml:space="preserve">
Bug report URL: https://storage.googleapis.com/google-code-archive/v2/code.google.com/closure-compiler/issues/issue-144.json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</si>
  <si>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https://storage.googleapis.com/google-code-archive/v2/code.google.com/closure-compiler/issues/issue-1114.json
Original files: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</si>
  <si>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https://storage.googleapis.com/google-code-archive/v2/code.google.com/closure-compiler/issues/issue-1017.json
Original files:
---FILE_START---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</si>
  <si>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https://storage.googleapis.com/google-code-archive/v2/code.google.com/closure-compiler/issues/issue-937.json
Original files:
---FILE_START---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</si>
  <si>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com.google.javascript.jscomp.IntegrationTest::testIssue937</t>
  </si>
  <si>
    <t xml:space="preserve">
Bug report URL: https://storage.googleapis.com/google-code-archive/v2/code.google.com/closure-compiler/issues/issue-787.json
Original files:
---FILE_START---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</si>
  <si>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https://storage.googleapis.com/google-code-archive/v2/code.google.com/closure-compiler/issues/issue-921.json
Original files:
---FILE_START---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</si>
  <si>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</si>
  <si>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</si>
  <si>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</si>
  <si>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com.google.javascript.jscomp.CheckSideEffectsTest::testUselessCode;com.google.javascript.jscomp.CheckSideEffectsTest::testIssue80</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</si>
  <si>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</si>
  <si>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https://storage.googleapis.com/google-code-archive/v2/code.google.com/closure-compiler/issues/issue-728.json
Original files:
---FILE_START---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
     * Constants (true, false, null) are considered basically free,
     * because it's likely that they will get folded when we're done.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</si>
  <si>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com.google.javascript.jscomp.InlineCostEstimatorTest::testCost;com.google.javascript.jscomp.InlineFunctionsTest::testIssue728</t>
  </si>
  <si>
    <t xml:space="preserve">
Bug report URL: https://storage.googleapis.com/google-code-archive/v2/code.google.com/closure-compiler/issues/issue-657.json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</si>
  <si>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com.google.javascript.jscomp.CodePrinterTest::testMinusNegativeZero</t>
  </si>
  <si>
    <t xml:space="preserve">
Bug report URL: https://storage.googleapis.com/google-code-archive/v2/code.google.com/closure-compiler/issues/issue-620.json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</si>
  <si>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https://storage.googleapis.com/google-code-archive/v2/code.google.com/closure-compiler/issues/issue-582.json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</si>
  <si>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https://storage.googleapis.com/google-code-archive/v2/code.google.com/closure-compiler/issues/issue-487.json
Original files: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</si>
  <si>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https://storage.googleapis.com/google-code-archive/v2/code.google.com/closure-compiler/issues/issue-820.json
Original files: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</si>
  <si>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https://storage.googleapis.com/google-code-archive/v2/code.google.com/closure-compiler/issues/issue-311.json
Original files:
---FILE_START---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</si>
  <si>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failed</t>
  </si>
  <si>
    <t xml:space="preserve">
Bug report URL: https://storage.googleapis.com/google-code-archive/v2/code.google.com/closure-compiler/issues/issue-248.json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</si>
  <si>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https://storage.googleapis.com/google-code-archive/v2/code.google.com/closure-compiler/issues/issue-125.json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</si>
  <si>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Codec</t>
  </si>
  <si>
    <t xml:space="preserve">
Bug report URL: https://issues.apache.org/jira/browse/CODEC-117
Original files:
---FILE_START---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</si>
  <si>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 xml:space="preserve">
Bug report URL: https://issues.apache.org/jira/browse/CODEC-130
Original files:
---FILE_START---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</si>
  <si>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org.apache.commons.codec.binary.Base32InputStreamTest::testSkipToEnd;org.apache.commons.codec.binary.Base32InputStreamTest::testCodec130;org.apache.commons.codec.binary.Base32InputStreamTest::testSkipWrongArgument;org.apache.commons.codec.binary.Base32InputStreamTest::testAvailable;org.apache.commons.codec.binary.Base32InputStreamTest::testSkipPastEnd;org.apache.commons.codec.binary.Base32InputStreamTest::testSkipBig;org.apache.commons.codec.binary.Base64InputStreamTest::testSkipToEnd;org.apache.commons.codec.binary.Base64InputStreamTest::testCodec130;org.apache.commons.codec.binary.Base64InputStreamTest::testSkipWrongArgument;org.apache.commons.codec.binary.Base64InputStreamTest::testAvailable;org.apache.commons.codec.binary.Base64InputStreamTest::testSkipPastEnd;org.apache.commons.codec.binary.Base64InputStreamTest::testSkipBig</t>
  </si>
  <si>
    <t xml:space="preserve">
Bug report URL: https://issues.apache.org/jira/browse/CODEC-101
Original files:
---FILE_START---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return base64.readResults(b, offset, len);
        }
    }
    /**
     * {@inheritDoc}
     * 
     * @return false
     */
    public boolean markSupported() {
        return false; // not an easy job to support marks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</si>
  <si>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Collections</t>
  </si>
  <si>
    <t xml:space="preserve">
Bug report URL: https://issues.apache.org/jira/browse/COLLECTIONS-266
Original files:
---FILE_START---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The hash code of some
	 * keys might have change (hash codes based on the system hash code are
	 * only stable for the same process). 
	 * @return the instance with recalculated hash code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</si>
  <si>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(res == null)
        {
            return null;
        }
        String key = Util.stripLeadingHyphens(opt);
        if (names.containsKey(key))
        {
            key = (String) names.get(key);
        }
        return TypeHandler.createValue(res, ((Option) options.get(key)).getType());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</si>
  <si>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
        }
        return (String[]) tokens.toArray(new String[tokens.size()]);
    }
}
---FILE_END---</t>
  </si>
  <si>
    <t>org.apache.commons.cli.GnuParserTest::testShortWithEqual;org.apache.commons.cli.GnuParserTest::testLongWithEqualSingleDash;org.apache.commons.cli.GnuParserTest::testLongWithEqual</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</si>
  <si>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List valueList = (List) values.get(option);
        if ((valueList == null) || valueList.isEmpty()) {
            // either use the user supplied defaults
            if (defaultValues != null) {
                return new ArrayList(defaultValues);
            }
            // or the option's defaults
            List defaults = (List) this.defaultValues.get(option);
            if (defaults != null) {
                return new ArrayList(defaults);
            }
            // or an empty list
            return Collections.EMPTY_LIST;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</si>
  <si>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commandline.WriteableCommandLineImplTest::testGetValuesStringList;org.apache.commons.cli2.commandline.WriteableCommandLineImplTest::testGetValuesOptionList;org.apache.commons.cli2.validation.FileValidatorTest::testValidate_WritableFile</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</si>
  <si>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the option is not in this group then ignore
        if (!optionMap.containsKey(option.getKey()))
        {
            // an option from another group has been selected.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</si>
  <si>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org.apache.commons.cli.BasicParserTest::testOptionGroupLong;org.apache.commons.cli.GnuParserTest::testOptionGroupLong;org.apache.commons.cli.PosixParserTest::testOptionGroupLong</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</si>
  <si>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&amp;&amp; str.length() &gt; 1 &amp;&amp; str.startsWith("\"") &amp;&amp; str.endsWith("\""))
        {
            str = str.substring(1, str.length() - 1);
        }
        return str;
    }
}
---FILE_END---</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</si>
  <si>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@throws ParseException if the value creation fails
     */
    public static Object createValue(String str, Object obj)
        throws ParseException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@throws ParseException if the value creation fails
     */
    public static Object createValue(String str, Class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throw new ParseException("Unable to handle the class: " + clazz);
        }
    }
    /**
      * &lt;p&gt;Create an Object from the classname and empty constructor.&lt;/p&gt;
      *
      * @param str the argument value
      * @return the initialised object
      * @throws ParseException if the class cannot be found or instantiated
      */
    public static Object createObject(String str)
        throws ParseException
    {
        Class cl = null;
        try
        {
            cl = Class.forName(str);
        }
        catch (ClassNotFoundException cnfe)
        {
            throw new ParseException("Unable to find the class: " + str);
        }
        Object instance = null;
        try
        {
            instance = cl.newInstance();
        }
        catch (InstantiationException cnfe)
        {
            throw new ParseException("Unable to instantiate the class: "
                               + str);
        }
        catch (IllegalAccessException cnfe)
        {
            throw new ParseException("Unable to instantiate the class: "
                               + str);
        }
        return instance;
    }
    /**
     * &lt;p&gt;Create a number from a String. If a . is present, it creates a 
     *    Double, otherwise a Long. &lt;/p&gt;
     *
     * @param str the value
     * @return the number represented by &lt;code&gt;str&lt;/code&gt;
     * @throws ParseException if &lt;code&gt;str&lt;/code&gt; is not a number
     */
    public static Number createNumber(String str)
        throws ParseException
    {
        try
        {
            return org.apache.commons.lang.math.NumberUtils.createNumber(str);
        }
        catch (NumberFormatException nfe)
        {
            throw new ParseException("Unable to parse the number: " + str);
        }
    }
    /**
     * &lt;p&gt;Returns the class whose name is &lt;code&gt;str&lt;/code&gt;.&lt;/p&gt;
     *
     * @param str the class name
     * @return The class if it is found
     * @throws ParseException if the class is not found
     */
    public static Class createClass(String str)
        throws ParseException
    {
        try
        {
            return Class.forName(str);
        }
        catch (ClassNotFoundException cnfe)
        {
            throw new ParseException("Unable to find the class: " + str);
        }
    }
    /**
     * &lt;p&gt;Returns the date represented by &lt;code&gt;str&lt;/code&gt;.&lt;/p&gt;
     * &lt;p&gt;This method is not yet implemented and will throw an
     * UnsupportedOperationException.&lt;/p&gt;
     *
     * @param str the date string
     * @return The date
     * @throws UnsupportedOperationException always
     */
    public static Date createDate(String str)
        throws ParseException
    {
        throw new UnsupportedOperationException("Not yet implemented");
    }
    /**
     * &lt;p&gt;Returns the URL represented by &lt;code&gt;str&lt;/code&gt;.&lt;/p&gt;
     *
     * @param str the URL string
     * @return The URL is &lt;code&gt;str&lt;/code&gt; is well-formed
     * @throws ParseException if the URL is not well-formed
     */
    public static URL createURL(String str)
        throws ParseException
    {
        try
        {
            return new URL(str);
        }
        catch (MalformedURLException mue)
        {
            throw new ParseException("Unable to parse the URL: " + str);
        }
    }
    /**
     * &lt;p&gt;Returns the File represented by &lt;code&gt;str&lt;/code&gt;.&lt;/p&gt;
     *
     * @param str the File location
     * @return The file represented by &lt;code&gt;str&lt;/code&gt;.
     */
    public static File createFile(String str)
    {
        return new File(str);
    }
    /**
     * &lt;p&gt;Returns the File[] represented by &lt;code&gt;str&lt;/code&gt;.&lt;/p&gt;
     * &lt;p&gt;This method is not yet implemented and will return null.&lt;/p&gt;
     *
     * @param str the paths to the files
     * @return The File[] represented by &lt;code&gt;str&lt;/code&gt;.
     */
    public static File[] createFiles(String str)
    {
        // to implement/port:
        //        return FileW.findFiles(str);
        return null;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</si>
  <si>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createFileInputStream(str);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createFileInputStream(final String str) throws ParseException
    {
        try
        {
            return new FileInputStream(str);
        }
        catch (final FileNotFoundException e)
        {
            throw new ParseException("Unable to find the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</si>
  <si>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if (classname == null)
        {
            throw new ParseException("The class name is null");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</si>
  <si>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org.apache.commons.cli.TypeHandlerTest::testCreateValueInteger_failure</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</si>
  <si>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if (str.length() == 2)
            {
                return null;
            }
            return str.substring(2, str.length());
        }
        else if (str.startsWith("-"))
        {
            if (str.length() == 1)
            {
                return null;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</si>
  <si>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(type == '*') {
                if (required) {
                    abuilder.withMinimum(1);
                }
            } else {
                abuilder.withMinimum(1);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</si>
  <si>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</si>
  <si>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</si>
  <si>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getNativeType(NO_OBJECT_TYPE).getGreatestSubtype(type);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</si>
  <si>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com.google.javascript.jscomp.ClosureReverseAbstractInterpreterTest::testGoogIsObject2;com.google.javascript.jscomp.ClosureReverseAbstractInterpreterTest::testGoogIsObject3;com.google.javascript.jscomp.ClosureReverseAbstractInterpreterTest::testGoogIsArray2</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</si>
  <si>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 If the next node is a condition for a control structure,
      // then we can't just replace it with an assignment.
      // See issue 1017.
      if (parent.isIf() ||
          parent.isHook() ||
          parent.isAnd() ||
          parent.isOr()) {
        return false;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</si>
  <si>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com.google.javascript.jscomp.ExploitAssignsTest::testExprExploitation;com.google.javascript.jscomp.ExploitAssignsTest::testIssue1017;com.google.javascript.jscomp.ExploitAssignsTest::testBug1840071</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</si>
  <si>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
        // The JSDoc should be on the value, not the key.
        value.setJSDocInfo(key.getJSDocInfo());
        // TODO(nicksantos): We should consider throwing a warning here.
      }
    }
  }
}
---FILE_END---</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</si>
  <si>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Node currentNode = node;
    do {
      Node c = currentNode.getFirstChild();
      while(c != null) {
        traverse(c);
        Node next = c.getNext();
        c = next;
      }
      currentNode = visit(currentNode);
      if (currentNode == null) {
        break;
      }
      visits++;
      Preconditions.checkState(visits &lt; 10000, "too many interations");
    } while (shouldRetraverse(currentNode));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Node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null;
        }
      }
    } while(somethingChanged);
    return currentVersionOfNode;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</si>
  <si>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com.google.javascript.jscomp.IntegrationTest::testIssue787</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</si>
  <si>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if ("byte".equals(s)) {
                    // Note: "byte" is not a keyword, but a reserved word.
                    id=true;
                  }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if ("goto".equals(s)) {
                    // Note: "goto" is not a keyword, but a reserved word.
                    id=true;
                  }
                  break partial;
                case 'l':
                  if ("long".equals(s)) {
                    // Note: "long" is not a keyword, but a reserved word.
                    id=true;
                  }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if ("const".equals(s)) {
                        // Note: "const" is not a keyword, but a reserved word.
                        id=true;
                      }
                    } else if (c=='f') {
                      if ("final".equals(s)) {
                        // Note: "final" is not a keyword, but a reserved word.
                        id=true;
                      }
                    }
                    break partial;
                case 'o': c=s.charAt(0);
                    if (c=='f') {
                      if ("float".equals(s)) {
                        // Note: "float" is not a keyword, but a reserved word.
                        id=true;
                      }
                    } else if (c=='s') {
                      if ("short".equals(s)) {
                        // Note: "short" is not a keyword, but a reserved word.
                        id=true;
                      }
                    }
                    break partial;
                case 'p': X="super";id=true; break partial;
                case 'r': X="throw";id=true; break partial;
                case 't': X="catch";id=true; break partial;
                } break partial;
            case 6: switch (s.charAt(1)) {
                case 'a':
                  if ("native".equals(s)) {
                    // Note: "native" is not a keyword, but a reserved word.
                    id=true;
                  }
                  break partial;
                case 'e': c=s.charAt(0);
                    if (c=='d') { X="delete";id=true; }
                    else if (c=='r') { X="return";id=true; }
                    break partial;
                case 'h': X="throws";id=true; break partial;
                case 'm': X="import";id=true; break partial;
                case 'o': X="double";id=true; break partial;
                case 't':
                  if ("static".equals(s)) {
                    // Note: "static" is not a keyword, but a reserved word.
                    id=true;
                  }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if ("private".equals(s)) {
                    // Note: "private" is not a keyword, but a reserved word.
                    id=true;
                  }
                  break partial;
                case 'x': X="extends";id=true; break partial;
                } break partial;
            case 8: switch (s.charAt(0)) {
                case 'a':
                  if ("abstract".equals(s)) {
                    // Note: "abstract" is not a keyword, but a reserved word.
                    id=true;
                  }
                  break partial;
                case 'c': X="continue";id=true; break partial;
                case 'd': X="debugger";id=true; break partial;
                case 'f': X="function";id=true; break partial;
                case 'v':
                  if ("volatile".equals(s)) {
                    // Note: "volatile" is not a keyword, but a reserved word.
                    id=true;
                  }
                  break partial;
                } break partial;
            case 9: c=s.charAt(0);
                if (c=='i') {
                  if ("interface".equals(s)) {
                    // Note: "interface" is not a keyword, but a reserved word.
                    id=true;
                  }
                } else if (c=='p') {
                  if ("protected".equals(s)) {
                    // Note: "protected" is not a keyword, but a reserved word.
                    id=true;
                  }
                } else if (c=='t') {
                  if ("transient".equals(s)) {
                    // Note: "transient" is not a keyword, but a reserved word.
                    id=true;
                  }
                }
                break partial;
            case 10: c=s.charAt(1);
                if (c=='m') {
                  if ("implements".equals(s)) {
                    // Note: "implements" is not a keyword, but a reserved word.
                    id=true;
                  }
                } else if (c=='n') { X="instanceof";id=true; }
                break partial;
            case 12:
              if ("synchronized".equals(s)) {
                // Note: "synchronized" is not a keyword, but a reserved word.
                id=true;
              }
              break partial;
            }
            // partial match validate the entire string the one possibility
            if (X!=null &amp;&amp; X!=s &amp;&amp; !X.equals(s)) return false;
            // The cases below are for reserved words that are only keywords in certain
            // contexts. In the Rhino parser, we do not treat them as keywords, so
            // that they can be used as identifiers.
            if (id &amp;&amp; X == null) {
              return false;
            }
        }
        return id;
    }
    public static boolean isJSIdentifier(String s) {
      int length = s.length();
      if (length == 0 ||
          !Character.isJavaIdentifierStart(s.charAt(0))) {
        return false;
      }
      for (int i = 1; i &lt; length; i++) {
        if (
            !Character.isJavaIdentifierPart(s.charAt(i))) {
          return false;
        }
      }
      return true;
    }
}
---FILE_END---</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</si>
  <si>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&amp;&amp;
           !thisParam.isVarArgs() &amp;&amp; !thatParam.isVarArgs()) {
      JSType thisParamType = thisParam.getJSType();
      JSType thatParamType = thatParam.getJSType();
      if (thisParamType != null) {
        if (thatParamType == null ||
            !thatParamType.isSubtype(thisParamType)) {
          return false;
        }
      }
      thisParam = thisParam.getNext();
      thatParam = thatParam.getNext();
    }
    // Every an explicit parameter in 'this' must be matched by a parameter in
    // 'that'.
    if (thisParam != null &amp;&amp; thisParam.isVarArgs()) {
      // TODO(nicksantos): This is not
      // a correct formulation of subtyping.
      return true;
    }
    if (thatParam != null &amp;&amp; thatParam.isVarArgs()) {
      return true;
    }
    // 'that' has fewer arguments, so it is not a subtype of 'this'
    if (thisParam != null &amp;&amp; thatParam == null) {
      return false;
    }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</si>
  <si>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MethodInference8;com.google.javascript.jscomp.TypeCheckTest::testMethodInference8;com.google.javascript.rhino.jstype.JSTypeTest::testSubtypingFunctionVariableArgsOneOnly;com.google.javascript.rhino.jstype.JSTypeTest::testFunctionTypeRelationships;com.google.javascript.rhino.jstype.JSTypeTest::testSubtypingMostGeneralFunction</t>
  </si>
  <si>
    <t>This bug report is about `CheckSideEffects` incorrectly flagging parts of a comma expression like `a, b, c;` as useless code. The comma operator evaluates all operands and returns the last one. In a statement context (followed by a semicolon), the final result is discarded. The check should be more aware of the context of comma expressions.
The provided patch with the bug report suggests refactoring the logic for handling comma expressions. The original code has complex logic with early returns, which makes it hard to follow and is likely incorrect for some cases involving comma operators.
The fix involves the following changes:
1.  Refactor the logic inside `visit` for nodes whose parent is a `COMMA` node.
2.  The original code has an early `return` if `isResultUsed` is true at the beginning of the comma check. This is removed.
3.  For the last child of a comma, instead of an early `return` if the result is used, we update the `isResultUsed` flag. The logic `if (ancestorType != Token.EXPR_RESULT &amp;&amp; ancestorType != Token.BLOCK) return;` is changed to set `isResultUsed`.
4.  For children that are not the last in a comma expression, their result is never used. We explicitly set `isResultUsed` to `false`.
5.  A single check `if (isResultUsed) { return; }` is added after the logic that determines if the result is used. This consolidates the exit points.
This refactoring correctly determines whether an expression's result is used, especially within comma expressions, and avoids incorrect warnings.
Here's the corrected file: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(n == parent.getLastChild()) {
        for (Node an : parent.getAncestors()) {
          int ancestorType = an.getType();
          if (ancestorType == Token.COMMA) {
            continue;
          }
          isResultUsed = (ancestorType != Token.EXPR_RESULT &amp;&amp;
              ancestorType != Token.BLOCK);
          break;
        }
      } else {
        // Not the last child of a comma operator. The result is not used.
        isResultUsed = false;
      }
    } else if (parent.getType() != Token.EXPR_RESULT &amp;&amp; parent.getType() != Token.BLOCK) {
      if (! (parent.getType() == Token.FOR &amp;&amp; parent.getChildCount() == 4 &amp;&amp; (n == parent.getFirstChild() || n == parent.getFirstChild().getNext().getNext()))) {
        return;
      }
    }
    if (isResultUsed) {
      return;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</si>
  <si>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(gramps.isExprResult()) {
        // In an expression like "a, b, c", we don't want to warn for "a" and
        // "b". The COMMA operator is a valid way to sequence expressions,
        // and the user may be using it to sequence a bunch of no-op
        // expressions.
        //
        // We will still warn for "c" if the result of the expression is
        // unused, because that's the result of the whole expression.
        return;
      }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</si>
  <si>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</si>
  <si>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 If this is a qualified name, don't ever consider it cheap.
      if (identifier.indexOf('.') == -1) {
        add(ESTIMATED_IDENTIFIER);
      } else {
        // The cost of a qualified name is the cost of the starting identifier,
        // plus the cost of all the property names.
        add(ESTIMATED_IDENTIFIER);
        append(identifier.substring(identifier.indexOf('.')));
      }
    }
    /**
     * Constants (true, false, null) are considered basically free,
     * because it's likely that they will get folded when we're done.
     */
  }
}
---FILE_END---</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</si>
  <si>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 It's not pretty printing, but we need to avoid adjacent -- and ++
    // so that we don't create a syntax error.
    if (first == '+' &amp;&amp; prev == '+') {
      // This is not pretty printing. This is to prevent misparsing of
      // things like "x + ++y" or "x++ + ++y"
      append(" ");
    } else if (first == '-' &amp;&amp; prev == '-')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</si>
  <si>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
      // Do not allow a forward slash to appear after a DIV or an operator.
      // For example,
      // REGEXP DIV REGEXP
      // is valid and should print like
      // / // / /
      //
      // REGEXP PLUS REGEXP
      // is valid and should print like
      // / / + / /
      char last = getLastChar();
      if (last == '+' || last == '-' || last == '/') {
        append("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</si>
  <si>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
   * @param isFunctionDeclaration Are we printing a function declaration, function
   * statement, or a function expression.
   */
  void endFunction(boolean isFunctionDeclaration) {
    sawFunction = true;
    if (isFunctionDeclaration) {
      // Function declarations are statements, so they need a newline.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</si>
  <si>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</si>
  <si>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(line.isEmpty() &amp;&amp; builder.length() &gt; 0 &amp;&amp;
              builder.charAt(builder.length() - 1) == '\n') {
            builder.deleteCharAt(builder.length()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</si>
  <si>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TwoEmptyLines;com.google.javascript.jscomp.LightweightMessageFormatterTest::testThreeLineRemoveLastEmptyLine;com.google.javascript.jscomp.LightweightMessageFormatterTest::testFormatErrorSpaceEndOfLine1;com.google.javascript.jscomp.LightweightMessageFormatterTest::testFormatErrorSpaceEndOfLine2</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</si>
  <si>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com.google.common.collect.Maps;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java.util.Map;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 A map of variable names to the NAME node in the new VAR node.
      Map&lt;String, Node&gt; names = Maps.newHashMap();
      boolean redeclaration = false;
      for (Node n = collapse.startNode; n != collapse.endNode;) {
        Node next = n.getNext();
        Preconditions.checkState(var.getNext() == n);
        collapse.parent.removeChildAfter(var);
        if (n.isVar()) {
          while(n.hasChildren()) {
            Node nameNode = n.removeFirstChild();
            String name = nameNode.getString();
            // If "a" was already defined in this var block, this is a
            // re-declaration.
            if (names.containsKey(name)) {
              // We are declaring the same var again.
              // This is not technically a redeclaration, but a re-assignment.
              // In an case, we need to update the value.
              Node existingNameNode = names.get(name);
              if (nameNode.hasChildren()) {
                // The new declaration has an assignment.
                //
                // It's something like:
                // var a = 1;
                // ...
                // var a = 2;
                Node value = nameNode.removeFirstChild();
                if (existingNameNode.hasChildren()) {
                  existingNameNode.removeChildren();
                }
                existingNameNode.addChildToBack(value);
              }
            } else {
              var.addChildToBack(nameNode);
              names.put(name, nameNode);
            }
          }
        } else {
          Node assign = n.getFirstChild();
          Node lhs = assign.getFirstChild();
          Preconditions.checkState(lhs.isName());
          String name = lhs.getString();
          Node rhs = assign.getLastChild();
          if (names.containsKey(name)) {
            // The var has already been declared.
            Node existingNameNode = names.get(name);
            rhs.detachFromParent();
            existingNameNode.removeChildren();
            existingNameNode.addChildToBack(rhs);
          } else {
            lhs.addChildToBack(rhs.detachFromParent());
            var.addChildToBack(lhs.detachFromParent());
            names.put(name, lhs);
            redeclaration = true;
          }
        }
        n = next;
      }
      if (redeclaration) {
        JSDocInfo info = new JSDocInfo();
        info.addSuppression("duplicate");
        var.setJSDocInfo(info);
      }
    }
  }
}
---FILE_END---</t>
  </si>
  <si>
    <t>com.google.javascript.jscomp.CollapseVariableDeclarationsTest::testAggressiveRedeclaration;com.google.javascript.jscomp.CollapseVariableDeclarationsTest::testIssue820;com.google.javascript.jscomp.CommandLineRunnerTest::testTransformAMDAndProcessCJS</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</si>
  <si>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 A function declaration in an unreachable block is still live.
      if (n.getType() == Token.FUNCTION) {
        return;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t>
  </si>
  <si>
    <t>com.google.javascript.jscomp.UnreachableCodeEliminationTest::testCascadedRemovalOfUnlessUnconditonalJumps;com.google.javascript.jscomp.UnreachableCodeEliminationTest::testIssue311</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</si>
  <si>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parentType == Token.STRING || parentType == Token.NUMBER) {
        jsDoc = parent.getJSDocInfo();
        if (jsDoc == null &amp;&amp; parentType == Token.NAME) {
          Node gramps = parent.getParent();
          if (gramps.getType() == Token.VAR) {
            jsDoc = gramps.getJSDocInfo();
          }
        }
      }
    }
    return jsDoc;
  }
}
---FILE_END---</t>
  </si>
  <si>
    <t>com.google.javascript.jscomp.CheckGlobalThisTest::testLendsAnnotation3</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</si>
  <si>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 A function expression can be an argument to a call.
            pType == Token.CALL))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</si>
  <si>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com.google.javascript.jscomp.CheckGlobalThisTest::testPropertyOfMethod;com.google.javascript.jscomp.CheckGlobalThisTest::testInnerFunction4;com.google.javascript.jscomp.CheckGlobalThisTest::testMethod4;com.google.javascript.jscomp.CheckGlobalThisTest::testInterface1</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</si>
  <si>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Also, handle beginning with "mb"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</si>
  <si>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org.apache.commons.codec.language.CaverphoneTest::testEndMb</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</si>
  <si>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if (baseNCodec.isEof()) {
                        return EOF;
                    }
                    byte[] buf = new byte[doEncode ? 4096 : 8192];
                    int c = in.read(buf);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</si>
  <si>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while (readLen == 0) {
                if (!base64.hasData()) {
                    byte[] buf = new byte[doEncode ? 4096 : 8192];
                    int c = in.read(buf);
                    if (doEncode) {
                        base64.encode(buf, 0, c);
                    } else {
                        base64.decode(buf, 0, c);
                    }
                }
                readLen = base64.readResults(b, offset, len);
            }
            return readLen;
        }
    }
    /**
     * {@inheritDoc}
     * 
     * @return false
     */
    public boolean markSupported() {
        return false; // not an easy job to support marks
    }
}
---FILE_END---</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</si>
  <si>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 The hash code of some keys may have changed.
     * @param in The stream to read from
     * @throws IOException
     * @throws ClassNotFoundException
     */
    private void readObject(ObjectInputStream in) throws IOException, ClassNotFoundException {
        in.defaultReadObject();
        calculateHashCode(keys);
    }
}
---FILE_END---</t>
  </si>
  <si>
    <t xml:space="preserve">
Bug report URL: https://issues.apache.org/jira/browse/COLLECTIONS-294
Original files:
---FILE_START---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</si>
  <si>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java.util.Iterator;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Overrides putAll to ensure keys are converted to lowercase.
     * &lt;p&gt;
     * This implementation iterates over the specified map's entries, and calls
     * {@link #put(Object, Object)} for each.
     *
     * @param map  the map to copy from, must not be null
     * @throws NullPointerException if the map is null
     */
    public void putAll(Map map) {
        for (Iterator it = map.entrySet().iterator(); it.hasNext();) {
            Map.Entry entry = (Map.Entry) it.next();
            put(entry.getKey(), entry.getValue());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</si>
  <si>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t>
  </si>
  <si>
    <t xml:space="preserve">
Bug report URL: https://issues.apache.org/jira/browse/COLLECTIONS-239
Original files:
---FILE_START---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</si>
  <si>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if (iValue == null) {
            return object == null;
        }
        return equator.equate(iValue, object);
    }
    /**
     * Gets the value.
     * 
     * @return the value
     * @since 3.1
     */
    public Object getValue() {
        return iValue;
    }
}
---FILE_END---</t>
  </si>
  <si>
    <t>org.apache.commons.collections.functors.TestEqualPredicate::testNullArgumentEqualsNullPredicate;org.apache.commons.collections.functors.TestEqualPredicate::objectFactoryUsesEqualsForTest</t>
  </si>
  <si>
    <t xml:space="preserve">
Bug report URL: https://issues.apache.org/jira/browse/COLLECTIONS-495
Original files: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</si>
  <si>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if (trie instanceof Unmodifiable) {
            @SuppressWarnings("unchecked") // safe to cast
            final UnmodifiableTrie&lt;K, V&gt; untrie = (UnmodifiableTrie&lt;K, V&gt;) trie;
            return untrie;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</si>
  <si>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</si>
  <si>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((AbstractCollectionDecorator&lt;?&gt;) coll).decorated();
            } else if (coll instanceof SynchronizedCollection) {
                coll = ((SynchronizedCollection&lt;?&gt;) coll).decorated();
            }
        }
        if (coll instanceof BoundedCollection == false) {
            throw new IllegalArgumentException("The collection is not a bounded collection");
        }
        return new UnmodifiableBoundedCollection&lt;E&gt;((BoundedCollection&lt;? extends 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</si>
  <si>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 xml:space="preserve">
Bug report URL: https://issues.apache.org/jira/browse/COLLECTIONS-576
Original files:
---FILE_START---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</si>
  <si>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checkKeys(keys);
        if (makeClone) {
            this.keys = keys.clone();
        } else {
            this.keys = keys;
        }
        calculateHashCode(keys);
    }
    private void checkKeys(final K[] keys) {
        if (keys == null) {
            throw new IllegalArgumentException("The array of keys must not be null");
        }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private void readObject(final ObjectInputStream in) throws IOException, ClassNotFoundException {
        in.defaultReadObject();
        checkKeys(keys);
    }
}
---FILE_END---</t>
  </si>
  <si>
    <t>org.apache.commons.collections4.keyvalue.MultiKeyTest::testEqualsAfterSerializationOfDerivedClass</t>
  </si>
  <si>
    <t>Compress</t>
  </si>
  <si>
    <t xml:space="preserve">
Bug report URL: https://issues.apache.org/jira/browse/COMPRESS-11
Original files:
---FILE_START---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
                                                         .trim()));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</si>
  <si>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java.io.EOFException;
import java.io.IOException;
import java.io.InputStream;
import org.apache.commons.compress.archivers.ArchiveEntry;
import org.apache.commons.compress.archivers.ArchiveInputStream;
import org.apache.commons.compress.utils.IOUtils;
/**
 * Implements the "ar" archive format as an input stream.
 * 
 * @NotThreadSafe
 * 
 */
public class ArArchiveInputStream extends ArchiveInputStream {
    private final InputStream input;
    private long offset = 0;
    private long entryOffset = -1;
    private boolean closed;
    private ArArchiveEntry currentEntry = null;
    // This is used to check if the stream is at the end of the entry.
    private byte[] padBuffer = new byte[1];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final long skipped = IOUtils.skip(this, entryEnd - offset);
            if (entryEnd - offset != skipped) {
                throw new IOException("failed to skip to the end of the entry");
            }
            currentEntry = null;
        }
        if (offset == 0) {
            final byte[] expected = ArArchiveEntry.HEADER.getBytes();
            final byte[] realized = new byte[expected.length];
            if (read(realized) != expected.length) {
                // empty archive
                return null;
            }
            for (int i = 0; i &lt; expected.length; i++) {
                if (expected[i] != realized[i]) {
                    throw new IOException("invalid header "
                                          + new String(realized));
                }
            }
        }
        if (offset % 2 != 0) {
            if (read(padBuffer, 0, 1) &lt; 0) { // even stream length
                // hit eof
                return null;
            }
        }
        // Check if we are at the end of the file, returning null if so
        {
            byte[] twoBytes = new byte[2];
            int read = IOUtils.readFully(this, twoBytes, 0, 2);
            if (read != 2) {
                return null;
            }
            pushedBackBytes(2);
        }
        final byte[] name = new byte[16];
        final byte[] lastmodified = new byte[12];
        final byte[] userid = new byte[6];
        final byte[] groupid = new byte[6];
        final byte[] filemode = new byte[8];
        final byte[] length = new byte[10];
        IOUtils.readFully(this, name);
        IOUtils.readFully(this, lastmodified);
        IOUtils.readFully(this, userid);
        IOUtils.readFully(this, groupid);
        IOUtils.readFully(this, filemode);
        try {
            IOUtils.readFully(this, length);
        } catch (EOFException e) {
            throw new IOException("Truncated ar archive");
        }
        {
            final byte[] expected = ArArchiveEntry.TRAILER.getBytes();
            final byte[] realized = new byte[expected.length];
            IOUtils.readFully(this, realized);
            for (int i = 0; i &lt; expected.length; i++) {
                if (expected[i] != realized[i]) {
                    throw new IOException("invalid entry header. not read the content? " + new String(realized));
                }
            }
        }
        // EOF is recognized by a zero length entryname
        if (new String(name).trim().length() == 0) {
            return null;
        }
        entryOffset = offset;
        currentEntry =
            new ArArchiveEntry(new String(name).trim(),
                               Long.parseLong(new String(length).trim()),
                               Integer.parseInt(new String(userid).trim()),
                               Integer.parseInt(new String(groupid).trim()),
                               Integer.parseInt(new String(filemode).trim(), 8),
                               Long.parseLong(new String(lastmodified).trim()));
        return currentEntry;
    }
    public ArchiveEntry getNextEntry() throws IOException {
        return getNextArEntry();
    }
    public void close() throws IOException {
        if (!closed) {
            closed = true;
            input.close();
        }
    }
    /**
     * Reads a byte of data. This method will block until a byte is available,
     * an I/O error occurs, or the end of the stream is reached.
     * 
     * @return the byte read, or -1 if the end of the stream is reached.
     * @throws IOException
     *             if an I/O error occurs.
     */
    public int read() throws IOException {
        if (currentEntry != null) {
            final long entryEnd = entryOffset + currentEntry.getLength();
            if (offset &gt;= entryEnd) {
                return -1;
            }
        }
        final int ret = input.read();
        if (ret != -1) {
            offset++;
        }
        return ret;
    }
    /**
     * Reads a portion of the archive. This method will block until some input
     * is available, an I/O error occurs, or the end of the stream is reached.
     * 
     * @param b
     *            the buffer into which the data is read
     * @return the number of bytes read, or -1 if the end of the stream is
     *         reached.
     * @throws IOException
     *             if an I/O error occurs.
     */
    public int read(byte[] b) throws IOException {
        return read(b, 0, b.length);
    }
    public int read(byte[] b, final int off, final int len) throws IOException {
        int toRead = len;
        if (currentEntry != null) {
            final long entryEnd = entryOffset + currentEntry.getLength();
            if (len &gt; 0 &amp;&amp; entryEnd &gt; offset) {
                toRead = (int) Math.min(len, entryEnd - offset);
            } else {
                return -1;
            }
        }
        final int ret = this.input.read(b, off, toRead);
        if (ret &gt; 0) {
            offset += ret;
        }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---FILE_START---
FILENAME: org.apache.commons.compress.utils.IOUtils.java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org.apache.commons.compress.utils;
import java.io.EOFException;
import java.io.IOException;
import java.io.InputStream;
/**
 * Utility functions
 * @Immutable
 */
public class IOUtils {
    /**
     * Read stream until buffer is full
     * @param b
     * @throws IOException
     */
    public static void readFully(InputStream in, byte[] b) throws IOException {
        readFully(in, b, 0, b.length);
    }
    /**
     * Read stream until buffer is full
     * @param b
     * @throws IOException
     */
    public static int readFully(InputStream in, byte[] b, int off, int len) throws IOException {
        int n = 0;
        while (n &lt; len) {
            int count = in.read(b, off + n, len - n);
            if (count &lt; 0) {
                if (n &gt; 0)
                {
                    throw new EOFException("premature end of file");
                }
                return n;
            }
            n += count;
        }
        return n;
    }
    public static long skip(InputStream input, long numToSkip) throws IOException {
        // See http://issues.apache.org/jira/browse/IO-201 for details
        if (numToSkip &lt; 0) {
            throw new IllegalArgumentException();
        }
        long remain = numToSkip;
        while (remain &gt; 0) {
            long skipped = input.skip(remain);
            if (skipped == 0) {
                // Check for end of file
                int b = input.read();
                if (b == -1) {
                    break;
                }
                remain--;
                continue;
            }
            remain -= skipped;
        }
        return numToSkip - remain;
    }
}
---FILE_END---</t>
  </si>
  <si>
    <t xml:space="preserve">
Bug report URL: https://issues.apache.org/jira/browse/COMPRESS-277
Original files:
---FILE_START---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available = numToSkip;
        while (numToSkip &gt; 0) {
            long skipped = input.skip(numToSkip);
            if (skipped == 0) {
                break;
            }
            numToSkip -= skipped;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</si>
  <si>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available = numToSkip;
        while (numToSkip &gt; 0) {
            long skipped = input.skip(numToSkip);
            if (skipped == 0) {
                if (read(input) &lt; 0) {
                    break;
                }
                skipped = 1;
            }
            numToSkip -= skipped;
        }
        return available - numToSkip;
    }
    /**
     * Reads a single byte from the given input stream.
     * @param input stream to read from
     * @return the byte read or -1 if end of stream has been reached
     * @throws IOException if an I/O error has occurred
     */
    private static int read(InputStream input) throws IOException {
        // JIRA-COMPRESS-277: Under some circumstances, a single read
        // returning -1 may be the only way to detect the end of
        // a stream.
        return input.read();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</si>
  <si>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long nextByte = in.read();
            if (nextByte &lt; 0) {
                return nextByte;
            }
            if (byteOrder == ByteOrder.LITTLE_ENDIAN) {
                bitsCached |= (nextByte &lt;&lt; bitsCachedSize);
            } else {
                bitsCached &lt;&lt;= 8;
                bitsCached |= nextByte;
            }
            bitsCachedSize += 8;
        }
            // bitsCachedSize &gt;= 57 and left-shifting it 8 bits would cause an overflow
        final long bitsOut;
            if (byteOrder == ByteOrder.LITTLE_ENDIAN) {
                bitsOut = (bitsCached &amp; MASKS[count]);
                bitsCached &gt;&gt;&gt;= count;
            } else {
                bitsOut = (bitsCached &gt;&gt; (bitsCachedSize - count)) &amp; MASKS[count];
            }
            bitsCachedSize -= count;
        return bitsOut;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</si>
  <si>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break;
            }
            if (byteOrder == ByteOrder.LITTLE_ENDIAN) {
                bitsCached |= (((long) nextByte) &lt;&lt; bitsCachedSize);
            } else {
                bitsCached &lt;&lt;= 8;
                bitsCached |= nextByte;
            }
            bitsCachedSize += 8;
        }
            // bitsCachedSize &gt;= 57 and left-shifting it 8 bits would cause an overflow
        if (bitsCachedSize &lt; count) {
            return -1;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</si>
  <si>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</si>
  <si>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 xml:space="preserve">
Bug report URL: https://issues.apache.org/jira/browse/COMPRESS-412
Original files:
---FILE_START---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to verify the checksum
        if (read() &gt;= 0) {
            return 1;
        }
        return 0;
    }
    /**
     * Returns the calculated checksum.
     * @return the calculated checksum.
     */
    public long getValue() {
        return checksum.getValue();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</si>
  <si>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if (n &lt; 0) {
            return 0;
        }
        final byte[] buffer = new byte[4096];
        long skipped = 0;
        while (skipped &lt; n) {
            final long curr = n - skipped;
            final int read = read(buffer, 0, (int) (curr &lt; buffer.length ? curr : buffer.length));
            if (read &lt; 0) {
                return skipped;
            }
            skipped += read;
        }
        return skipped;
    }
    /**
     * Returns the calculated checksum.
     * @return the calculated checksum.
     */
    public long getValue() {
        return checksum.getValue();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</si>
  <si>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</si>
  <si>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</si>
  <si>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</si>
  <si>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'\r' || (current == '\n' &amp;&amp; lastChar != '\r'))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offset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</si>
  <si>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 xml:space="preserve">
Bug report URL: https://issues.apache.org/jira/browse/CSV-96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return index != null ? values[index.intValue()] :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</si>
  <si>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return index.intValue() &lt; values.length ? values[index.intValue()] : null;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</si>
  <si>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org.apache.commons.csv.CSVRecordTest::testGetStringInconsistentRecord</t>
  </si>
  <si>
    <t xml:space="preserve">
Bug report URL: https://issues.apache.org/jira/browse/CSV-58
Original files:
---FILE_START---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</si>
  <si>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</si>
  <si>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org.apache.commons.csv.CSVLexerTest::testEscapedMySqlNullValue;org.apache.commons.csv.CSVLexerTest::testEscapedCharacter;org.apache.commons.csv.CSVLexerTest::testDelimiterIsWhitespace;org.apache.commons.csv.CSVParserTest::testBackslashEscaping</t>
  </si>
  <si>
    <t xml:space="preserve">
Bug report URL: https://issues.apache.org/jira/browse/CSV-111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</si>
  <si>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if (mapping == null) {
            return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</si>
  <si>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https://issues.apache.org/jira/browse/CSV-118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</si>
  <si>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col &lt; values.length ? values[col] : null);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if (mapping == null) {
            return new HashMap&lt;String, String&gt;(0);
        }
        return putIn(new HashMap&lt;String, String&gt;(mapping.size()));
    }
    @Override
    public String toString() {
        return Arrays.toString(values);
    }
    String[] values() {
        return values;
    }
}
---FILE_END---</t>
  </si>
  <si>
    <t>JacksonCore</t>
  </si>
  <si>
    <t xml:space="preserve">
Bug report URL: https://github.com/FasterXML/jackson-core/pull/246
Original files:
---FILE_START---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</si>
  <si>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public JsonGenerator disable(Feature f) {
        super.disable(f);
        if (f == Feature.QUOTE_FIELD_NAMES) {
            _cfgUnqNames = true;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</si>
  <si>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</si>
  <si>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if (delegate == null) {
            return null;
        }
        JsonToken t = delegate.nextToken();
        if (t != null) {
            return t;
        }
        do {
            if (!switchToNext()) {
                return null;
            }
            t = delegate.nextToken();
        } while (t == null);
        return t;
    }
    // This is override of default implementation from JsonParser
    @Override
    public JsonParser skipChildren() throws IOException
    {
        // 13-Jun-2016, tatu: As per #296, need to override, can't delegate
        if (delegate.getCurrentToken() != JsonToken.START_OBJECT
            &amp;&amp; delegate.getCurrentToken() != JsonToken.START_ARRAY) {
            return this;
        }
        int open = 1;
        while (true) {
            JsonToken t = nextToken();
            if (t == null) { // EOF
                // As per [core#105], must be considered an error.
                _handleEOF();
                return this;
            }
            if (t.isStructStart()) {
                ++open;
            } else if (t.isStructEnd()) {
                if (--open == 0) {
                    return this;
                }
            }
        }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</si>
  <si>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 xml:space="preserve">
Bug report URL: https://github.com/FasterXML/jackson-core/issues/173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</si>
  <si>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</si>
  <si>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</si>
  <si>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&gt; 1 &amp;&amp; str.charAt(0) == '0') {
            return -1;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</si>
  <si>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</si>
  <si>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if (!_gotName) {
                return STATUS_EXPECT_NAME;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</si>
  <si>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JacksonDatabind</t>
  </si>
  <si>
    <t xml:space="preserve">
Bug report URL: https://github.com/FasterXML/jackson-databind/issues/2064
Original files:
---FILE_START---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</si>
  <si>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df0.clone();
        if (hasLocale) {
            // 22-Jun-2018, tatu: Not sure if this is reliable enough, but seems to be the
            //    only way to change Locale for `SimpleDateFormat`
            df = new SimpleDateFormat(df.toPattern(), format.getLocale());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t>
  </si>
  <si>
    <t>com.fasterxml.jackson.databind.ser.jdk.SqlDateSerializationTest::testSqlDateConfigOverride</t>
  </si>
  <si>
    <t xml:space="preserve">
Bug report URL: https://github.com/FasterXML/jackson-databind/issues/2197
Original files:
---FILE_START---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</si>
  <si>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Void.class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if (rawType == Void.class) {
                return NullifyingDeserializer.instance;
            }
        }
        return null;
    }
}
---FILE_END---</t>
  </si>
  <si>
    <t xml:space="preserve">
Bug report URL: https://github.com/FasterXML/jackson-databind/issues/2265
Original files:
---FILE_START---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</si>
  <si>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CLASS_UNMODIFIABLE_LIST_RANDOM;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[databind#2265]
        List&lt;?&gt; list2 = new ArrayList&lt;&gt;();
        CLASS_UNMODIFIABLE_LIST_RANDOM = Collections.unmodifiableList(list2).getClass();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else if (type.hasRawClass(CLASS_UNMODIFIABLE_LIST)
                || type.hasRawClass(CLASS_UNMODIFIABLE_LIST_RANDOM))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</si>
  <si>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</si>
  <si>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 xml:space="preserve">
Bug report URL: https://github.com/FasterXML/jackson-databind/issues/771
Original files:
---FILE_START---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&amp;&amp; previous.equals(ann);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</si>
  <si>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</si>
  <si>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</si>
  <si>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JsonFormat.Value format = findFormatOverrides(prov, property, handledType());
                if (format != null) {
                    switch (format.getShape()) {
                    case STRING:
                        return ToStringSerializer.instance;
                    default: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</si>
  <si>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https://github.com/FasterXML/jackson-databind/issues/479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</si>
  <si>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</si>
  <si>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https://github.com/FasterXML/jackson-databind/issues/1045
Original files:
---FILE_START---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JsonParser.NumberType.BIG_INTEGER);
            } else {
                // otherwise bit unclear what to call... but let's try:
                /*JsonNumberFormatVisitor v2 =*/ visitor.expectNumberFormat(typeHint);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</si>
  <si>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/*JsonNumberFormatVisitor v2 =*/ visitor.expectNumberFormat(typeHint);
            }
        }
    }
}
---FILE_END---</t>
  </si>
  <si>
    <t xml:space="preserve">
Bug report URL: https://github.com/FasterXML/jackson-databind/issues/1051
Original files: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</si>
  <si>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 13-Oct-2015, tatu: As per [databind#1051], need to bear in mind
            //   that `p.getCodec()` may be null.
            TokenBuffer tb = new TokenBuffer(p, ctxt);
            tb.writeStartObject(); // recreate START_OBJECT
            tb.writeFieldName(_typePropertyName);
            tb.writeString(typeId);
            p = JsonParserSequence.createFlattened(false, 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</si>
  <si>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 xml:space="preserve">
Bug report URL: https://github.com/FasterXML/jackson-databind/issues/1083
Original files:
---FILE_START---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</si>
  <si>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15-Jan-2016,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</si>
  <si>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com.fasterxml.jackson.databind.objectid.Objecid1083Test::testSimple</t>
  </si>
  <si>
    <t xml:space="preserve">
Bug report URL: https://github.com/FasterXML/jackson-databind/issues/1108
Original files:
---FILE_START---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</si>
  <si>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[databind#1108]: needed for `FIELD_NAME`
        if (p.getCurrentToken() != JsonToken.FIELD_NAME) {
            p.skipChildren();
        }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</si>
  <si>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</si>
  <si>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https://github.com/FasterXML/jackson-databind/issues/506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</si>
  <si>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if (t == JsonToken.VALUE_NULL) {
                    value = deser.getNullValue();
                } else {
                    value = deser.deserialize(jp, ctxt);
                }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isDefaultDeserializer(deser)) {
            deser = null;
        }
        if (_elementDeserializer != deser) {
            return new StringArrayDeserializer(deser);
        }
        return this;
    }
}
---FILE_END---</t>
  </si>
  <si>
    <t>com.fasterxml.jackson.databind.deser.TestCollectionDeserialization::testArrayIndexForExceptions</t>
  </si>
  <si>
    <t xml:space="preserve">
Bug report URL: https://github.com/FasterXML/jackson-databind/pull/1150
Original files:
---FILE_START---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</si>
  <si>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 03-Jun-2016, tatu: As per [databind#1150], this is not right; should be fine
        //   to get `null` and that should not be passed further.
        final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if (id == null) {
            return instance;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</si>
  <si>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com.fasterxml.jackson.databind.objectid.TestObjectIdSerialization::testNullStringPropertyId</t>
  </si>
  <si>
    <t xml:space="preserve">
Bug report URL: https://github.com/FasterXML/jackson-databind/pull/1155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</si>
  <si>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 #1153: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</si>
  <si>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 xml:space="preserve">
Bug report URL: https://github.com/FasterXML/jackson-databind/issues/1194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</si>
  <si>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 Life-cycle
    /**********************************************************
     */
    protected ReferenceType(Class&lt;?&gt; cls, TypeBindings bindings, JavaType superClass, JavaType[] superInts,
            JavaType refType, Object valueHandler, Object typeHandler, boolean asStatic)
    {
        super(cls, bindings, superClass, superInts, refType.hashCode(),
                valueHandler, typeHandler, asStatic);
        _referencedType = refType;
    }
    @Deprecated // since 2.8
    protected ReferenceType(Class&lt;?&gt; cls, JavaType refType,
            Object valueHandler, Object typeHandler, boolean asStatic)
    {
        super(cls, refType.hashCode(),
                valueHandler, typeHandler, asStatic);
        _referencedType = refType;
    }
    public static ReferenceType construct(Class&lt;?&gt; cls, TypeBindings bindings,
            JavaType superClass, JavaType[] superInts, JavaType refType)
    {
        return new ReferenceType(cls, bindings, superClass, superInts, refType, null, null, false);
    }
    @Deprecated // since 2.8
    public static ReferenceType construct(Class&lt;?&gt; cls, JavaType refType,
            Object valueHandler, Object typeHandler)
    {
        return new ReferenceType(cls, refType, valueHandler, typeHandler, false);
    }                                   
    @Override
    public ReferenceType withTypeHandler(Object h)
    {
        if (h == _typeHandler) {
            return this;
        }
        return new ReferenceType(_class, _bindings, _superClass, _superInterfaces,
                _referencedType, _valueHandler, h, _asStatic);
    }
    @Override
    public ReferenceType withContentTypeHandler(Object h)
    {
        if (h == _referencedType.&lt;Object&gt;getTypeHandler()) {
            return this;
        }
        return new ReferenceType(_class, _bindings, _superClass, _superInterfaces,
                _referencedType.withTypeHandler(h),
                _valueHandler, _typeHandler, _asStatic);
    }
    @Override
    public ReferenceType withValueHandler(Object h) {
        if (h == _valueHandler) {
            return this;
        }
        return new ReferenceType(_class, _bindings, _superClass, _superInterfaces,
                _referencedType, h, _typeHandler, _asStatic);
    }
    @Override
    public ReferenceType withContentValueHandler(Object h) {
        if (h == _referencedType.&lt;Object&gt;getValueHandler()) {
            return this;
        }
        JavaType newRefType = _referencedType.withValueHandler(h);
        return new ReferenceType(_class, _bindings, _superClass, _superInterfaces,
                newRefType, _valueHandler, _typeHandler, _asStatic);
    }
    @Override
    public ReferenceType withStaticTyping() {
        if (_asStatic) {
            return this;
        }
        return new ReferenceType(_class, _bindings, _superClass, _superInterfaces,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19-May-2016, tatu: Not sure if this is correct, but has to do for now
        return new ReferenceType(subclass, _bindings, _superClass, _superInterfaces,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</si>
  <si>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id = generator.generateId(forPojo);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</si>
  <si>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</si>
  <si>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</si>
  <si>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 11-Aug-2016, tatu: This is the fallback for Enum keys, which need to be handled
                //    using a customized serializer for @JsonValue handling.
                //    But for that, we need bit more context...
                return new EnumKeySerializer(rawKeyType, null);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2.8.0
     */
    protected static class EnumKeySerializer extends StdSerializer&lt;Object&gt;
    {
        protected final EnumValues _values;
        protected EnumKeySerializer(Class&lt;?&gt; enumType, EnumValues values) {
            super(enumType, false);
            _values = values;
        }
        @Override
        public void serialize(Object value, JsonGenerator g, SerializerProvider provider) throws IOException
        {
            // 03-Nov-2016, tatu: This is not fully correct, as we do not know for sure
            //   what the result of @JsonValue is. But for now let's assume it's
            //   String, and just use that.
            EnumValues values = _values;
            if (values == null) {
                // 11-Nov-2016, tatu: This should not happen, but it's possible if
                //   bean property has been used to find this, and not `findKeySerializer()`
                //   which would pass `EnumValues`.
                values = ((EnumSerializer)provider.findValueSerializer(value.getClass(), null))
                        .getEnumValues();
            }
            SerializableString sstr = values.serializedValueFor((Enum&lt;?&gt;) value);
            g.writeFieldName(sstr);
        }
    }
}
---FILE_END---</t>
  </si>
  <si>
    <t xml:space="preserve">
Bug report URL: https://github.com/FasterXML/jackson-databind/issues/1501
Original files:
---FILE_START---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</si>
  <si>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23-Feb-2017, tatu: Let's explicitly check for START_OBJECT, since that's another
            //   case where we can just delegate. It's just that we need to create instance
            //   first.
            if (t == JsonToken.START_OBJECT) {
                try {
                    value = _creator.newInstance(bean);
                } catch (Exception e) {
                    ClassUtil.unwrapAndThrowAsIAE(e, "Failed to instantiate class "+_creator.getDeclaringClass().getName()+", problem: "+e.getMessage());
                    value = null; // to keep compiler happy
                }
                _valueDeserializer.deserialize(jp, ctxt, value);
            } else {
                // A-ha! Must be a non-structured value, so let's call non-update deserialize
                // and see what we get.
                try {
                    value = _valueDeserializer.deserialize(jp, ctxt);
                } catch (IOException e) {
                    // 24-Feb-2017, tatu: As per [databind#1503], this can be an issue.
                    //    Alas, need to dig deeper. For now, let's just re-throw
                    throw e;
                }
            }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</si>
  <si>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</si>
  <si>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</si>
  <si>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 25-Apr-2017, tatu: As per [databind#1533], need to allow for cases where we are
             *   being called with other than START_OBJECT.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 25-Apr-2017, tatu: As per [databind#1533], it's possible we just hit END_OBJECT,
        // and need to simply use default impl.
        if (p.hasToken(JsonToken.END_OBJECT)) {
            // we will simply return `null` for now
            return null;
        }
        // 25-Apr-2017, tatu: ... and if not, THEN we can complain.
        // As per [databind#1533], this can be reached if we get non-object value.
        // But what should we do? for now, let's just through "missing property"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</si>
  <si>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com.fasterxml.jackson.databind.jsontype.TestPolymorphicWithDefaultImpl::testWithEmptyStringAsNullObject1533;com.fasterxml.jackson.databind.jsontype.TestSubtypes::testDefaultImplViaModule</t>
  </si>
  <si>
    <t xml:space="preserve">
Bug report URL: https://github.com/FasterXML/jackson-databind/issues/1543
Original files:
---FILE_START---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</si>
  <si>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[databind#1543]: also, `OBJECT` can be used
                || shape == Shape.OBJECT) {
            return null;
        }
        // 19-May-2016, tatu: also consider "natural" shape
        if (shape == Shape.STRING || shape == Shape.NATURAL) {
            return Boolean.FALSE;
        }
        if (shape.isNumeric() || (shape == Shape.ARRAY)) {
            return Boolean.TRUE;
        }
        // 19-Jun-2017, tatu: As per [databind#1543], `OBJECT` is also fine (and given same
        //   meaning as `ANY` or `SCALAR`), but for other shapes, let's fail.
        //   (and yes, `ARRAY` is basically 'serialize as index')
        throw new IllegalArgumentException(String.format(
                "Unsupported serialization shape (%s) for Enum %s, not supported as %s annotation",
                    shape, enumClass.getName(), (fromClass? "class" : "property")));
    }
}
---FILE_END---</t>
  </si>
  <si>
    <t>com.fasterxml.jackson.databind.struct.EnumFormatShapeTest::testEnumPropertyAsNumber</t>
  </si>
  <si>
    <t xml:space="preserve">
Bug report URL: https://github.com/FasterXML/jackson-databind/issues/1647
Original files: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</si>
  <si>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if (o.getClass() == getClass()) {
            // 15-Apr-2017, tatu: Actually, we must be able to compare resolved
            //   recursive types, to handle cases like arrays of recursive types.
            if (_referencedType == null) { // can't be equal if unresolved
                return false;
            }
            return _referencedType.equals(((ResolvedRecursiveType) o).getSelfReferencedType());
        }
        // but if resolved, it may well equal to another type...
        if (_referencedType == null) {
            return false;
        }
        return _referencedType.equals(o);
    }
}
---FILE_END---</t>
  </si>
  <si>
    <t>com.fasterxml.jackson.databind.type.TestTypeFactoryWithRecursiveTypes::testBasePropertiesIncludedWhenSerializingSubWhenSubTypeLoadedAfterBaseType</t>
  </si>
  <si>
    <t xml:space="preserve">
Bug report URL: https://github.com/FasterXML/jackson-databind/issues/1648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            serializers.reportBadDefinition(handledType(), String.format(
            // Ugh. No way to change `Locale`, create copy; must re-crete completely: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</si>
  <si>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if shape is "string", even without pattern, must use default pattern
        if (shape == JsonFormat.Shape.STRING) {
            // Try to use default `StdDateFormat` if no other settings passed
            if (!format.hasPattern() &amp;&amp; !format.hasLocale() &amp;&amp; !format.hasTimeZone()) {
                // 11-Jun-2017, tatu: As per [databind#1648], this is needed to indicate
                //    that we want to use String format, not timestamp, even if
                //    there is no custom format.
                // ... so we'll just use the default format, but this indicates choice
                //
                // 19-Jun-2017, tatu: As per [databind#1648] need to be careful to not override
                //   pre-existing `_customFormat`
                if (_customFormat == null) {
                    return withFormat(Boolean.FALSE, null);
                }
            }
        }
        // First: custom pattern will override things
        if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            serializers.reportBadDefinition(handledType(), String.format(
            // Ugh. No way to change `Locale`, create copy; must re-crete completely: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</si>
  <si>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com.fasterxml.jackson.databind.ser.DateSerializationTest::testDateWithJsonFormat;com.fasterxml.jackson.databind.ser.DateSerializationTest::testFormatWithoutPattern</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</si>
  <si>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sb.append(']').toString();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</si>
  <si>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</si>
  <si>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</si>
  <si>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17-Aug-2017, tatu: As per [databind#1735], must ensure it's a subtype
            if (!_baseType.isContainerType()) {
                if (!_baseType.getRawClass().isAssignableFrom(t.getRawClass())) {
                    throw new IllegalArgumentException(String.format(
"Class %s not subtype of %s", t.toCanonical(), _baseType.toCanonical()));
                }
            }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 17-Aug-2017, tatu: As per [databind#1735], must ensure it's a subtype
        if (_baseType.isContainerType()) {
            return tf.constructSpecializedType(_baseType, cls);
        }
        if (!_baseType.getRawClass().isAssignableFrom(cls)) {
            throw new IllegalArgumentException(String.format(
"Class %s not subtype of %s", cls.getName(), _baseType.toCanonical()));
        }
        return tf.constructType(cls);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</si>
  <si>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https://github.com/FasterXML/jackson-databind/issues/682
Original files:
---FILE_START---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</si>
  <si>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if (value instanceof Enum&lt;?&gt;) {
            str = ((Enum&lt;?&gt;) value).name();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</si>
  <si>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ser.TestEnumSerialization::testEnumsWithJsonValueInMap;com.fasterxml.jackson.databind.ser.TestEnumSerialization::testMapWithEnumKeys;com.fasterxml.jackson.databind.ser.TestEnumSerialization::testToStringEnumWithEnumMap;com.fasterxml.jackson.databind.ser.TestMapSerialization::testClassKey</t>
  </si>
  <si>
    <t xml:space="preserve">
Bug report URL: https://github.com/FasterXML/jackson-databind/issues/1872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</si>
  <si>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 [databind#1872]: Spring-related
        s.add("org.springframework.context.support.DefaultLifecycleProcessor");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</si>
  <si>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</si>
  <si>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s.add("com.mchange.v2.c3p0.JndiRefForwardingDataSource"); // deprecated by [databind#1931]
// s.add("com.mchange.v2.c3p0.WrapperConnectionPoolDataSource"); // - "" -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[databind#1737]; more 3rd party
                // s.add("com.mchange.v2.c3p0.JndiRefForwardingDataSource");
                // s.add("com.mchange.v2.c3p0.WrapperConnectionPoolDataSource");
                // [databind#1931]; more 3rd party
                // com.mchange.v2.c3p0.ComboPooledDataSource
                // com.mchange.v2.c3p0.debug.AfterCloseLoggingComboPooledDataSource 
                }
            }
            return;
        } while (false);
        throw JsonMappingException.from(ctxt,
                String.format("Illegal type (%s) to deserialize: prevented for security reasons", full));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</si>
  <si>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protected final static String PREFIX_C3P0 = "com.mchange.v2.c3p0.";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[databind#1737]; more 3rd party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else if (full.startsWith(PREFIX_C3P0)) {
                // [databind#1931]; more 3rd party
                if (full.endsWith("DataSource")) {
                    break main_check;
                }
            }
            return;
        } while (false);
        throw JsonMappingException.from(ctxt,
                String.format("Illegal type (%s) to deserialize: prevented for security reasons", full));
    }
}
---FILE_END---</t>
  </si>
  <si>
    <t xml:space="preserve">
Bug report URL: https://github.com/FasterXML/jackson-databind/issues/1991
Original files:
---FILE_START---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gen.writeObject(_value);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</si>
  <si>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</si>
  <si>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</si>
  <si>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</si>
  <si>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com.fasterxml.jackson.databind.type.TestTypeFactory::testCanonicalNames</t>
  </si>
  <si>
    <t>JacksonXml</t>
  </si>
  <si>
    <t xml:space="preserve">
Bug report URL: https://github.com/FasterXML/jackson-dataformat-xml/issues/282
Original files:
---FILE_START---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_rootNameLookup = 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</si>
  <si>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new XmlRootNameLookup();
    }
    /**
     * @since 2.8.9
     */
    protected XmlSerializerProvider(XmlSerializerProvider src) {
        super(src);
        // 21-May-2018, tatu: As per [dataformat-xml#282], should NOT really copy
        //    root name lookup as that may link back to diff version, configuration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</si>
  <si>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</si>
  <si>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</si>
  <si>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(int i = toMove.size() - 1; i &gt;= 0; i--) {
            Node node = toMove.get(i);
            element.removeChild(node);
            body().prependChild(node);
            body().prependChild(new TextNode(" ", ""));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</si>
  <si>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https://github.com/jhy/jsoup/issues/109
Original files:
---FILE_START---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html");
        if (!StringUtil.isBlank(attr("publicId")))
            accum.append(" PUBLIC \"").append(attr("publicId")).append("\"");
        if (!StringUtil.isBlank(attr("systemId")))
            accum.append(' ').append(attr("systemId")).append("\"");
        accum.append('&gt;');
    }
    @Override
    void outerHtmlTail(StringBuilder accum, int depth, Document.OutputSettings out)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</si>
  <si>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
            accum.append(" PUBLIC \"").append(attr("publicId")).append('"');
        }
        if (!StringUtil.isBlank(attr("systemId"))) {
            if (StringUtil.isBlank(attr("publicId")))
                accum.append(" SYSTEM");
            accum.append(" \"").append(attr("systemId")).append('"');
        }
        accum.append('&gt;');
    }
    @Override
    void outerHtmlTail(StringBuilder accum, int depth, Document.OutputSettings out) {
    }
}
---FILE_END---</t>
  </si>
  <si>
    <t>org.jsoup.nodes.DocumentTypeTest::outerHtmlGeneration;org.jsoup.nodes.DocumentTypeTest::constructorValidationThrowsExceptionOnBlankName</t>
  </si>
  <si>
    <t xml:space="preserve">
Bug report URL: https://github.com/jhy/jsoup/issues/110
Original files:
---FILE_START---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- 1);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</si>
  <si>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</si>
  <si>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</si>
  <si>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</si>
  <si>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 look for &lt;meta http-equiv="Content-Type" content="text/html;charset=gb2312"&gt; or HTML5 &lt;meta charset="gb2312"&gt;
                if (docData.length() &gt; 0 &amp;&amp; docData.charAt(0) == '\uFEFF') {
                    byteData.rewind();
                    docData = Charset.forName(defaultCharset).decode(byteData).toString().substring(1);
                    charsetName = defaultCharset;
                    doc = null;
                }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'\uFEFF')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</si>
  <si>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</si>
  <si>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</si>
  <si>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org.jsoup.parser.HtmlParserTest::preservesSpaceInTextArea;org.jsoup.parser.TagTest::trims;org.jsoup.parser.TagTest::valueOfChecksNotEmpty</t>
  </si>
  <si>
    <t xml:space="preserve">
Bug report URL: https://github.com/jhy/jsoup/issues/154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</si>
  <si>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else if (sourceChild instanceof DataNode &amp;&amp; whitelist.isSafeTag(sourceChild.parent().nodeName())) {
                DataNode sourceData = (DataNode) sourceChild;
                DataNode destData = new DataNode(sourceData.getWholeData(), sourceChild.baseUri());
                dest.appendChild(destData);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</si>
  <si>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org.jsoup.safety.CleanerTest::handlesFramesets</t>
  </si>
  <si>
    <t xml:space="preserve">
Bug report URL: https://github.com/jhy/jsoup/issues/215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</si>
  <si>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return load(new FileInputStream(in), charsetName, baseUri);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try {
            ByteBuffer byteData = readToByteBuffer(in);
            return parseByteData(byteData, charsetName, baseUri, Parser.htmlParser());
        } finally {
            if (in != null)
                in.close();
        }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try {
            ByteBuffer byteData = readToByteBuffer(in);
            return parseByteData(byteData, charsetName, baseUri, parser);
        } finally {
            if (in != null)
                in.close();
        }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</si>
  <si>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org.jsoup.helper.DataUtilTest::testCharset;org.jsoup.helper.DataUtilTest::testQuotedCharset</t>
  </si>
  <si>
    <t xml:space="preserve">
Bug report URL: https://github.com/jhy/jsoup/issues/246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</si>
  <si>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org.jsoup.select.NodeTraversor;
import org.jsoup.select.NodeVisitor;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sourceRoot, Element destRoot) {
        CleaningVisitor cleaningVisitor = new CleaningVisitor(sourceRoot, destRoot);
        NodeTraversor traversor = new NodeTraversor(cleaningVisitor);
        traversor.traverse(sourceRoot);
        return cleaningVisitor.numDiscarded;
    }
    private final class CleaningVisitor implements NodeVisitor {
        private int numDiscarded = 0;
        private final Element root;
        private Element destination; // current element to append nodes to
        private CleaningVisitor(Element root, Element destination) {
            this.root = root;
            this.destination = destination;
        }
        public void head(Node source, int depth) {
            if (source instanceof Element) {
                Element sourceEl = (Element) source;
                if (whitelist.isSafeTag(sourceEl.tagName())) { // safe, clone and copy safe attrs
                    ElementMeta meta = createSafeElement(sourceEl);
                    Element destChild = meta.el;
                    destination.appendChild(destChild);
                    numDiscarded += meta.numAttribsDiscarded;
                    destination = destChild;
                } else if (source != root) { // not a safe tag, so don't add element itself, but head down recursive descent
                    numDiscarded++;
                }
            } else if (source instanceof TextNode) {
                TextNode sourceText = (TextNode) source;
                TextNode destText = new TextNode(sourceText.getWholeText(), source.baseUri());
                destination.appendChild(destText);
            } else { // not a safe node, so discard
                numDiscarded++;
            }
        }
        public void tail(Node source, int depth) {
            if (source instanceof Element &amp;&amp; whitelist.isSafeTag(source.nodeName())) {
                destination = destination.parent(); // would be great if we could trust that pop() == parent(), but we can't.
            }
        }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</si>
  <si>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https://github.com/jhy/jsoup/issues/349
Original files:
---FILE_START---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int i = offset + 1;
            int last = i + seq.length()-1;
            if (offset &lt; length) {
                for (int j = 1; i &lt; last &amp;&amp; seq.charAt(j) == input[i]; i++, j++);
                if (i == last)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</si>
  <si>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 char, then look for sequence
            if (input[offset] == startChar) {
                int i = offset + 1;
                int last = i + seq.length() - 1;
                if (offset + seq.length() &lt;= length) {
                    for (int j = 1; i &lt; last &amp;&amp; seq.charAt(j) == input[i]; i++, j++);
                    if (i == last)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</si>
  <si>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</si>
  <si>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((read = inStream.read(buffer)) != -1) {
            int write = capped &amp;&amp; read &gt; remaining ? remaining : read;
            outStream.write(buffer, 0, write);
            remaining -= write;
            if (capped) {
                if (remaining &lt;= 0) {
                    break;
                }
            }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</si>
  <si>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t>
  </si>
  <si>
    <t xml:space="preserve">
Bug report URL: https://github.com/jhy/jsoup/issues/348
Original files:
---FILE_START---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</si>
  <si>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foundCharset = foundCharset.trim().replaceAll("[\"']", "");
                    try {
                        charsetName = foundCharset;
                        byteData.rewind();
                        docData = Charset.forName(charsetName).decode(byteData).toString();
                        doc = null;
                    } catch (IllegalCharsetNameException e) {
                        // if our advanced charset matching fails.... we just take the default
                    }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</si>
  <si>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org.jsoup.helper.DataUtilTest::discardsSpuriousByteOrderMarkWhenNoCharsetSet</t>
  </si>
  <si>
    <t xml:space="preserve">
Bug report URL: https://github.com/jhy/jsoup/issues/460
Original files:
---FILE_START---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</si>
  <si>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
            accum.append(" PUBLIC \"").append(attr("publicId")).append('"');
        } else if (!StringUtil.isBlank(attr("systemId"))) {
            accum.append(" SYSTEM");
        }
        if (!StringUtil.isBlank(attr("systemId"))) {
            accum.append(" \"").append(attr("systemId")).append('"');
        }
        accum.append('&gt;');
    }
    @Override
    void outerHtmlTail(StringBuilder accum, int depth, Document.OutputSettings out) {
    }
}
---FILE_END---</t>
  </si>
  <si>
    <t>org.jsoup.nodes.DocumentTypeTest::outerHtmlGeneration;org.jsoup.nodes.DocumentTypeTest::constructorValidationOkWithBlankName;org.jsoup.parser.HtmlParserTest::handlesInvalidDoctypes</t>
  </si>
  <si>
    <t xml:space="preserve">
Bug report URL: https://github.com/jhy/jsoup/issues/489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</si>
  <si>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if (el.hasAttr("disabled")) continue; // disabled elements should not be submitted
            String name = el.attr("name");
            if (name.length() == 0) continue;
            String type = el.attr("type");
            if ("select".equals(el.tagName())) {
                Elements options = el.select("option[selected]");
                boolean set = false;
                for (Element option: options) {
                    if (option.hasAttr("disabled")) continue;
                    data.add(HttpConnection.KeyVal.create(name, option.val()));
                    set = true;
                }
                if (!set) {
                    Element option = el.select("option:not([disabled])").first();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</si>
  <si>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</si>
  <si>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</si>
  <si>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process(token);
            if (token.type == Token.TokenType.EOF)
                break;
            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</si>
  <si>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t>
  </si>
  <si>
    <t xml:space="preserve">
Bug report URL: https://github.com/jhy/jsoup/issues/721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</si>
  <si>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
                // xmlns attributes are not normal attributes and are handled in updateNamespaces
                if (key.equals(xmlnsKey) || key.startsWith(xmlnsPrefix))
                    continue;
                String prefix = attrKeyToPrefix(key);
                String namespace = namespaces.get(prefix);
                if (namespace != null)
                    el.setAttributeNS(namespace, key, attribute.getValue());
                else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private String attrKeyToPrefix(String key) {
            int pos = key.indexOf(":");
            return pos &gt; 0 ? key.substring(0, pos) : null;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</si>
  <si>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org.jsoup.helper.W3CDomTest::handlesInvalidAttributeNames</t>
  </si>
  <si>
    <t xml:space="preserve">
Bug report URL: https://github.com/jhy/jsoup/issues/429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</si>
  <si>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 look for a submit button that was clicked. The first submit element is used if not specified.
        Element submit = null;
        for (Element el: elements) {
            // if includes a submit button, it is the submitter.
            if (el.tag().isFormSubmittable() &amp;&amp; el.attr("type").equalsIgnoreCase("submit")) {
                submit = el;
                break;
            }
        }
        List&lt;Connection.KeyVal&gt; data = formData();
        if (submit != null) {
            String subAction = submit.attr("formaction");
            if (subAction.length() &gt; 0)
                action = absUrl(subAction);
            String subMethod = submit.attr("formmethod");
            if (subMethod.length() &gt; 0)
                method = subMethod.equalsIgnoreCase("POST") ? Connection.Method.POST : Connection.Method.GET;
            data.add(HttpConnection.KeyVal.create(submit.attr("name"), submit.attr("value")));
        }
        return Jsoup.connect(action)
                .data(data)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if ("submit".equalsIgnoreCase(type) || "image".equalsIgnoreCase(type)) {
                // can be submitted via click, but not by string batch.
                // appears in formData if specified as submit button, but not if just included in form elements.
                continue;
            } else {
                data.add(HttpConnection.KeyVal.create(name, el.val()));
            }
        }
        return data;
    }
}
---FILE_END---</t>
  </si>
  <si>
    <t>org.jsoup.nodes.FormElementTest::removeFormElement;org.jsoup.nodes.FormElementTest::adoptedFormsRetainInputs;org.jsoup.parser.HtmlParserTest::handlesDeepStack</t>
  </si>
  <si>
    <t xml:space="preserve">
Bug report URL: https://github.com/jhy/jsoup/issues/977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</si>
  <si>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continue;
                if (key.startsWith(xmlnsPrefix) || key.equals(xmlnsKey)) {
                    el.setAttributeNS("http://www.w3.org/2000/xmlns/", key, attribute.getValue());
                } else {
                    int pos = key.indexOf(":");
                    String prefix = pos &gt; 0 ? key.substring(0, pos) : null;
                    String namespace = namespaces.get(prefix);
                    if (namespace != null)
                        el.setAttributeNS(namespace, key, attribute.getValue());
                    else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if (key.equals(xmlnsKey)) {
                    namespaces.put("", attr.getValue());
                } else if (key.startsWith(xmlnsPrefix)) {
                    namespaces.put(key.substring(xmlnsPrefix.length()), attr.getValue());
                }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</si>
  <si>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org.jsoup.helper.W3CDomTest::namespacePreservation;org.jsoup.parser.HtmlParserTest::handlesDeepStack</t>
  </si>
  <si>
    <t xml:space="preserve">
Bug report URL: https://github.com/jhy/jsoup/issues/998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</si>
  <si>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 subset of data to parse is from first after the '?' or '!' to the last, minus one if a '?' or '!'
                String decl = data.substring(1, data.length() - (data.endsWith("?") ? 1 : 0));
                Document doc = Jsoup.parse("&lt;" + decl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</si>
  <si>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</si>
  <si>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https://github.com/jhy/jsoup/issues/1032
Original files:
---FILE_START---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</si>
  <si>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((Attributes) value).remove(key);
        return this;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</si>
  <si>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</si>
  <si>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 xml:space="preserve">
Bug report URL: https://github.com/jhy/jsoup/issues/1015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</si>
  <si>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 if a tag is self-closing in XML, it must be an empty element.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</si>
  <si>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org.jsoup.parser.XmlTreeBuilderTest::handlesDodgyXmlDecl;org.jsoup.parser.XmlTreeBuilderTest::testCommentAndDocType</t>
  </si>
  <si>
    <t xml:space="preserve">
Bug report URL: https://github.com/jhy/jsoup/issues/848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</si>
  <si>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String key = attribute.getKey();
                // xmlns attributes are handled in updateNamespaces.
                if (key.equals(xmlnsKey) || key.startsWith(xmlnsPrefix)) {
                    continue;
                }
                String prefix = null;
                if (key.contains(":")) {
                    prefix = key.substring(0, key.indexOf(":"));
                }
                String namespace = namespacesStack.peek().get(prefix);
                // valid xml attribute names are: ^[a-zA-Z_:][-a-zA-Z0-9_:.]
                if (key.matches("[a-zA-Z_:][-a-zA-Z0-9_:.]*")) {
                    el.setAttributeNS(namespace, 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</si>
  <si>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org.jsoup.helper.W3CDomTest::namespacePreservation;org.jsoup.helper.W3CDomTest::treatsUndeclaredNamespaceAsLocalName</t>
  </si>
  <si>
    <t xml:space="preserve">
Bug report URL: https://github.com/jhy/jsoup/issues/1159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</si>
  <si>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
        this.val = val;
        this.parent = parent;
    }
    /**
     Get the attribute key.
     @return the attribute key
     */
    public String getKey() {
        return key;
    }
    /**
     Set the attribute key; case is preserved.
     @param key the new key; must not be null
     */
    public void setKey(String key) {
        Validate.notNull(key);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</si>
  <si>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org.jsoup.nodes.AttributeTest::validatesKeysNotEmpty;org.jsoup.nodes.AttributeTest::validatesKeysNotEmptyViaSet</t>
  </si>
  <si>
    <t xml:space="preserve">
Bug report URL: https://github.com/jhy/jsoup/issues/1139
Original files:
---FILE_START---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</si>
  <si>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if (!isXmlDeclaration())
            return null;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t>
  </si>
  <si>
    <t>org.jsoup.parser.XmlTreeBuilderTest::handlesLTinScript</t>
  </si>
  <si>
    <t xml:space="preserve">
Bug report URL: https://github.com/jhy/jsoup/issues/1065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</si>
  <si>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this.val;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</si>
  <si>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org.jsoup.nodes.AttributeTest::booleanAttributesAreEmptyStringValues</t>
  </si>
  <si>
    <t xml:space="preserve">
Bug report URL: https://github.com/jhy/jsoup/issues/1107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</si>
  <si>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isBooleanAttribute(key) &amp;&amp;
                (val == null || val.equalsIgnoreCase(key) || val.isEmpty()));
    }
    /**
     * @deprecated
     */
    protected boolean isBooleanAttribute() {
        return Arrays.binarySearch(booleanAttributes, key) &gt;= 0;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</si>
  <si>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org.jsoup.nodes.AttributeTest::settersOnOrphanAttribute;org.jsoup.nodes.ElementTest::testAddBooleanAttribute;org.jsoup.parser.AttributeParseTest::parsesBooleanAttributes;org.jsoup.parser.HtmlParserTest::parsesQuiteRoughAttributes</t>
  </si>
  <si>
    <t xml:space="preserve">
Bug report URL: https://github.com/jhy/jsoup/issues/1231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</si>
  <si>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if (el.hasAttr("checked")) {
                    if ("radio".equalsIgnoreCase(type)) {
                        if (el.hasAttr("value"))
                            data.add(HttpConnection.KeyVal.create(name, el.val()));
                        // else, missing value radio is not submitted
                    } else { // checkbox
                        final String val = el.hasAttr("value") ? el.val() : "on";
                        data.add(HttpConnection.KeyVal.create(name, val));
                    }
                }
            } else {
                data.add(HttpConnection.KeyVal.create(name, el.val()));
            }
        }
        return data;
    }
}
---FILE_END---</t>
  </si>
  <si>
    <t>org.jsoup.nodes.FormElementTest::createsFormData</t>
  </si>
  <si>
    <t>JxPath</t>
  </si>
  <si>
    <t xml:space="preserve">
Bug report URL: https://issues.apache.org/jira/browse/JXPATH-93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</si>
  <si>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false);
        }
        if (right instanceof Iterator) {
            return containsMatch((Iterator) right, left, true);
        }
        return compare(left, right);
    }
    private Object reduce(Object o) {
        if (o instanceof SelfContext) {
            o = ((EvalContext) o).getSingleNodePointer();
        }
        if (o instanceof Collection) {
            o = ((Collection) o).iterator();
        }
        return o;
    }
    private boolean containsMatch(Iterator it, Object value, boolean valueIsLeft) {
        while (it.hasNext()) {
            Object element = it.next();
            if (valueIsLeft) {
                if (compare(value, element)) {
                    return true;
                }
            }
            else if (compare(element, value)) {
                return true;
            }
        }
        return false;
    }
    private boolean compare(Object left, Object right) {
        double ld = InfoSetUtil.doubleValue(left);
        if (Double.isNaN(ld)) {
            return false;
        }
        double rd = InfoSetUtil.doubleValue(right);
        if (Double.isNaN(rd)) {
            return false;
        }
        return evaluateCompare(ld == rd ? 0 : ld &lt; rd ? -1 : 1);
    }
    private boolean findMatch(Iterator lit, Iterator rit) {
        HashSet left = new HashSet();
        while (lit.hasNext()) {
            left.add(lit.next());
        }
        while (rit.hasNext()) {
            if (containsMatch(left.iterator(), rit.next(), false)) {
                return true;
            }
        }
        return false;
    }
}
---FILE_END---</t>
  </si>
  <si>
    <t>org.apache.commons.jxpath.ri.compiler.CoreOperationTest::testEmptyNodeSetOperations</t>
  </si>
  <si>
    <t xml:space="preserve">
Bug report URL: https://issues.apache.org/jira/browse/JXPATH-97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</si>
  <si>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if (nodePrefix != null &amp;&amp; nodePrefix.equals("xmlns")) {
            return false;
        }
        String nodeLocalName = DOMNodePointer.getLocalName(attr);
        if (nodePrefix == null &amp;&amp; nodeLocalName.equals("xmlns")) {
            return false;
        }
        String testLocalName = testName.getName();
        if (testLocalName.equals("*")) {
            String testPrefix = testName.getPrefix();
            if (testPrefix == null) {
                return true;
            }
            String nodeNamespaceURI = attr.getNamespaceURI();
            // The following condition is what we are trying to achieve:
            // testNS != null &amp;&amp; testNS.equals(nodeNamespaceURI)
            // The problem is that the parser may not support NS for attributes
            String testNS = parent.getNamespaceURI(testPrefix);
            return equalStrings(testNS, nodeNamespaceURI);
        }
        if (testLocalName.equals(nodeLocalName)) {
            String testPrefix = testName.getPrefix();
            String testNS = parent.getNamespaceURI(testPrefix);
            String nodeNS = attr.getNamespaceURI();
            if (equalStrings(testNS, nodeNS)) {
                return true;
            }
            // Workaround for parsers that do not support namespaces
            return nodeNS == null &amp;&amp; equalStrings(testPrefix, nodePrefix);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if (prefix == null) {
                    attributes.addAll(allAttributes);
                }
                else {
                    for (int i = 0; i &lt; allAttributes.size(); i++) {
                        Attribute attr = (Attribute) allAttributes.get(i);
                        if (attr.getNamespace().equals(ns)) {
                            attributes.add(attr);
                        }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</si>
  <si>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AxisAttribute;org.apache.commons.jxpath.ri.model.dom.DOMModelTest::testNamespaceMapping;org.apache.commons.jxpath.ri.model.jdom.JDOMModelTest::testAxisAttribute;org.apache.commons.jxpath.ri.model.jdom.JDOMModelTest::testNamespaceMapping</t>
  </si>
  <si>
    <t xml:space="preserve">
Bug report URL: https://issues.apache.org/jira/browse/JXPATH-100
Original files:
---FILE_START---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nodeSet.add(ptr);
                            pointers.add(ptr);
                        }
                    }
                }
            }
        }
        return super.setPosition(position);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</si>
  <si>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java.util.Collections;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pointers.add(ptr);
                        }
                    }
                }
            }
            Collections.sort(pointers);
            nodeSet.add(pointers);
        }
        return super.setPosition(position);
    }
}
---FILE_END---</t>
  </si>
  <si>
    <t xml:space="preserve">
Bug report URL: https://issues.apache.org/jira/browse/JXPATH-109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</si>
  <si>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Attr attr = element.getAttributeNodeNS(null, name.getName());
        if (attr != null) {
            return attr;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attributes = Collections.EMPTY_LIST;
                        return;
                    }
                }
            }
            String lname = name.getName();
            if (!lname.equals("*")) {
                if (prefix == null) {
                    ns = Namespace.NO_NAMESPACE;
                }
                if (ns == null) {
                    attributes = Collections.EMPTY_LIST;
                }
                else {
                    attributes = new ArrayList();
                    Attribute attr = element.getAttribute(lname, ns);
                    if (attr != null) {
                        attributes.add(attr);
                    }
                }
            }
            else {
                attributes = new ArrayList();
                List allAttributes = element.getAttributes();
                for (int i = 0; i &lt; allAttributes.size(); i++) {
                    Attribute attr = (Attribute) allAttributes.get(i);
                    if (prefix == null ||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</si>
  <si>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org.apache.commons.jxpath.ri.model.dom.DOMModelTest::testAxisAttribute</t>
  </si>
  <si>
    <t xml:space="preserve">
Bug report URL: https://issues.apache.org/jira/browse/JXPATH-115
Original files:
---FILE_START---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</si>
  <si>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QName name = null;
            if (nodeTest instanceof NodeNameTest) {
                name = ((NodeNameTest) nodeTest).getNodeName();
            }
            iterator =
                parentContext.getCurrentNodePointer().attributeIterator(name);
        }
        if (iterator == null) {
            return false;
        }
        while (iterator.setPosition(iterator.getPosition() + 1)) {
            currentNodePointer = iterator.getNodePointer();
            if (nodeTest.test(currentNodePointer)) {
                return true;
            }
        }
        return false;
    }
}
---FILE_END---</t>
  </si>
  <si>
    <t xml:space="preserve">
Bug report URL: https://issues.apache.org/jira/browse/JXPATH-50
Original files:
---FILE_START---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</si>
  <si>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new ValueIterator(ValueUtils.iterate(result));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</si>
  <si>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org.apache.commons.jxpath.ri.compiler.ExtensionFunctionTest::testNodeSetReturn</t>
  </si>
  <si>
    <t xml:space="preserve">
Bug report URL: https://issues.apache.org/jira/browse/JXPATH-149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</si>
  <si>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double d2 = InfoSetUtil.doubleValue(value);
        if (Double.isNaN(d2)) {
            return false;
        }
        while (it.hasNext()) {
            Object element = it.next();
            double d1 = InfoSetUtil.doubleValue(element);
            if (Double.isNaN(d1)) {
                continue;
            }
            if (evaluateCompare(d1 == d2 ? 0 : d1 &lt; d2 ? -1 : 1)) {
                return true;
            }
        }
        return false;
    }
    /**
     * Learn whether there is an intersection between two Iterators.
     * @param lit left Iterator
     * @param rit right Iterator
     * @return whether a match was found
     */
    private boolean findMatch(Iterator lit, Iterator rit) {
        HashSet left = new HashSet();
        while (lit.hasNext()) {
            double d = InfoSetUtil.doubleValue(lit.next());
            if (!Double.isNaN(d)) {
                left.add(new Double(d));
            }
        }
        if (left.isEmpty()) {
            return false;
        }
        while (rit.hasNext()) {
            double d2 = InfoSetUtil.doubleValue(rit.next());
            if (Double.isNaN(d2)) {
                continue;
            }
            for (Iterator it = left.iterator(); it.hasNext();) {
                double d1 = ((Double) it.next()).doubleValue();
                if (evaluateCompare(d1 == d2 ? 0 : d1 &lt; d2 ? -1 : 1)) {
                    return true;
                }
            }
        }
        return false;
    }
}
---FILE_END---</t>
  </si>
  <si>
    <t>org.apache.commons.jxpath.ri.compiler.JXPath149Test::testComplexOperationWithVariables</t>
  </si>
  <si>
    <t xml:space="preserve">
Bug report URL: https://issues.apache.org/jira/browse/JXPATH-151
Original files:
---FILE_START---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</si>
  <si>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return false;
        }
        String pn = getPropertyName();
        String opn = other.getPropertyName();
        if (pn == null ? opn != null : !pn.equals(opn))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</si>
  <si>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</si>
  <si>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 xml:space="preserve">
Bug report URL: https://issues.apache.org/jira/browse/JXPATH-68
Original files:
---FILE_START---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</si>
  <si>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</si>
  <si>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org.apache.commons.jxpath.ri.axes.SimplePathInterpreterTest::testDoStepPredicatesPropertyOwner;org.apache.commons.jxpath.ri.axes.SimplePathInterpreterTest::testDoStepPredicatesStandard;org.apache.commons.jxpath.ri.axes.SimplePathInterpreterTest::testDoPredicateIndex;org.apache.commons.jxpath.ri.model.MixedModelTest::testNull;org.apache.commons.jxpath.ri.model.beans.BadlyImplementedFactoryTest::testBadFactoryImplementation</t>
  </si>
  <si>
    <t xml:space="preserve">
Bug report URL: https://issues.apache.org/jira/browse/JXPATH-94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</si>
  <si>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
            l = ((Pointer) l).getValue();
        }
        if (r instanceof Pointer) {
            r = ((Pointer) r).getValue();
        }
//        System.err.println("COMPARING VALUES: " + l + " " + r);
        if (l instanceof Boolean || r instanceof Boolean) {
            return (InfoSetUtil.booleanValue(l) == InfoSetUtil.booleanValue(r));
        }
        if (l instanceof Number || r instanceof Number) {
            return (InfoSetUtil.doubleValue(l) == InfoSetUtil.doubleValue(r));
        }
        return (InfoSetUtil.stringValue(l).equals(InfoSetUtil.stringValue(r)));
    }
}
---FILE_END---</t>
  </si>
  <si>
    <t>org.apache.commons.jxpath.ri.compiler.VariableTest::testIterateVariable</t>
  </si>
  <si>
    <t xml:space="preserve">
Bug report URL: https://issues.apache.org/jira/browse/JXPATH-93
Original files:
---FILE_START---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</si>
  <si>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protected boolean evaluate(double l, double r) {
        return l &gt; r;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LICEcat 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protected boolean evaluate(double l, double r) {
        return l &gt;= r;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protected boolean evaluate(double l, double r) {
        return l &lt; r;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protected boolean evaluate(double l, double r) {
        return l &lt;= r;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java.util.ArrayList;
import java.util.Iterator;
import org.apache.commons.jxpath.ri.EvalContext;
import org.apache.commons.jxpath.ri.InfoSetUtil;
/**
 * Base implementation of Expression for the operations "&amp;gt;", "&amp;gt;=", "&amp;lt;", "&amp;lt;=".
 *
 * @author Matt Benson
 * @author Dmitri Plotnikov
 * @version $Revision:$ $Date:$
 */
public abstract class CoreOperationRelationalExpression extends CoreOperation {
    protected CoreOperationRelationalExpression(Expression[] args) {
        super(args);
    }
    public final Object computeValue(EvalContext context) {
        Object l = args[0].computeValue(context);
        Object r = args[1].computeValue(context);
        return compute(l, r) ? Boolean.TRUE : Boolean.FALSE;
    }
    protected final int getPrecedence() {
        return 3;
    }
    protected final boolean isSymmetric() {
        return false;
    }
    private boolean compute(Object l, Object r) {
        l = InfoSetUtil.value(l);
        r = InfoSetUtil.value(r);
        if (l instanceof Iterator) {
            Iterator lit = (Iterator) l;
            if (r instanceof Iterator) {
                return findMatch(lit, (Iterator) r);
            }
            return findMatch(lit, r);
        }
        if (r instanceof Iterator) {
            return findMatch((Iterator) r, l);
        }
        return evaluate(InfoSetUtil.doubleValue(l), InfoSetUtil.doubleValue(r));
    }
    private boolean findMatch(Iterator it, Object value) {
        double d2 = InfoSetUtil.doubleValue(value);
        while (it.hasNext()) {
            Object element = it.next();
            if (evaluate(InfoSetUtil.doubleValue(element), d2)) {
                return true;
            }
        }
        return false;
    }
    private boolean findMatch(Iterator it1, Iterator it2) {
        ArrayList list2 = new ArrayList();
        while (it2.hasNext()) {
            list2.add(it2.next());
        }
        while (it1.hasNext()) {
            Object o1 = it1.next();
            double d1 = InfoSetUtil.doubleValue(o1);
            for (int i = 0; i &lt; list2.size(); i++) {
                Object o2 = list2.get(i);
                if (evaluate(d1, InfoSetUtil.doubleValue(o2))) {
                    return true;
                }
            }
        }
        return false;
    }
    protected abstract boolean evaluate(double l, double r);
}
---FILE_END---</t>
  </si>
  <si>
    <t xml:space="preserve">
Bug report URL: https://issues.apache.org/jira/browse/JXPATH-95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</si>
  <si>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return compare(left, right);
    }
    /**
     * Compare two values.
     * @param left
     * @param right
     * @return boolean
     */
    private boolean compare(Object left, Object right) {
        double l = InfoSetUtil.doubleValue(left);
        double r = InfoSetUtil.doubleValue(right);
        return evaluateCompare(l == r ? 0 : l &lt; r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
        // This is a VERY inefficient implementation, but it avoids
        // a StackOverflowError that happens on large left-hand-side sets.
        //
        HashSet left = new HashSet();
        while (lit.hasNext()) {
            left.add(lit.next());
        }
        while (rit.hasNext()) {
            Object r = rit.next();
            Iterator lft = left.iterator();
            while (lft.hasNext()) {
                if (compute(lft.next(), r)) {
                    return true;
                }
            }
        }
        return false;
    }
}
---FILE_END---</t>
  </si>
  <si>
    <t>org.apache.commons.jxpath.ri.compiler.CoreOperationTest::testNan</t>
  </si>
  <si>
    <t xml:space="preserve">
Bug report URL: https://issues.apache.org/jira/browse/JXPATH-95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</si>
  <si>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equal((Iterator) l, r);
        }
        if (r instanceof Iterator) {
            return equal((Iterator) r, l);
        }
        return equal(l, r);
    }
    protected boolean equal(Iterator it, Object o) {
        if (o instanceof Boolean) {
            return it.hasNext() == ((Boolean) o).booleanValue();
        }
        while (it.hasNext()) {
            Object element = it.next();
            if (o instanceof String) {
                if (InfoSetUtil.stringValue(element).equals(o)) {
                    return true;
                }
            }
            else if (o instanceof Number) {
                if (InfoSetUtil.doubleValue(element) == ((Number) o).doubleValue()) {
                    return true;
                }
            }
            else if (equal(element, o)) {
                return true;
            }
        }
        return false;
    }
    protected boolean findMatch(Iterator lit, Iterator rit) {
        HashSet left = new HashSet();
        while (lit.hasNext()) {
            left.add(InfoSetUtil.stringValue(lit.next()));
        }
        while (rit.hasNext()) {
            if (left.contains(InfoSetUtil.stringValue(rit.next()))) {
                return true;
            }
        }
        return false;
    }
    protected boolean equal(Object l, Object r) {
        if (l instanceof Pointer) {
            l = ((Pointer) l).getValue();
        }
        if (r instanceof Pointer) {
            r = ((Pointer) r).getValue();
        }
        if (l == r) {
            return true;
        }
        if (l instanceof String &amp;&amp; r instanceof String) {
            return l.equals(r);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</si>
  <si>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org.apache.commons.jxpath.ri.compiler.CoreOperationTest::testNan;org.apache.commons.jxpath.ri.model.beans.BeanModelTest::testCoreFunctions;org.apache.commons.jxpath.ri.model.dynabeans.DynaBeanModelTest::testCoreFunctions</t>
  </si>
  <si>
    <t>Lang</t>
  </si>
  <si>
    <t xml:space="preserve">
Bug report URL: https://issues.apache.org/jira/browse/LANG-720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Character.codePointCount(input, 0, input.length());
        while (pos &lt; len) {
            int consumed = translate(input, pos, out);
            if (consumed == 0) {
                char[] c = Character.toChars(Character.codePointAt(input, pos));
                out.write(c);
            }
            else {
//          // contract with translators is that they have to understand codepoints 
//          // and they just took care of a surrogate pair
            for (int pt = 0; pt &lt; consumed; pt++) {
                    if (pos &lt; len - 2) {
                pos += Character.charCount(Character.codePointAt(input, pos));
                    } else {
                        pos++;
                    }
                }
                pos--;
            }
            pos++;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</si>
  <si>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 last position in input sequence that is not consumed yet...
        int len = input.length();
        while (pos &lt; len) {
            int consumed = translate(input, pos, out); // ...so this is the index in input to start searching at
            if (consumed == 0) {
                out.write(input.charAt(pos));
                pos++;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</si>
  <si>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</si>
  <si>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- 2 &amp;&amp; input.charAt(index + 1) == '#') {
            int start = index + 2;
            boolean isHex = false;
            char firstChar = input.charAt(start);
            if(firstChar == 'x' || firstChar == 'X') {
                start++;
                isHex = true;
                // Check there's more than just an x after the &amp;#
                if(start == seqEnd) {
                    return 0;
                }
            }
            int end = start;
            // Note that this supports character codes without a ; on the end
            while(end &lt; seqEnd &amp;&amp; input.charAt(end) != ';') {
                end++;
            }
            boolean semiColon = end != seqEnd &amp;&amp; input.charAt(end) == ';';
            try {
                int entityValue;
                if(isHex) {
                    entityValue = Integer.parseInt(input.subSequence(start, end).toString(), 16);
                } else {
                    entityValue = Integer.parseInt(input.subSequence(start, end).toString(), 10);
                }
                if(entityValue &gt; 0xFFFF) {
                    char[] chrs = Character.toChars(entityValue);
                    out.write(chrs[0]);
                    out.write(chrs[1]);
                } else {
                    out.write(entityValue);
                }
            } catch(NumberFormatException nfe) {
                return 0;
            }
            return 2 + (end - start) + (isHex ? 1 : 0) + (semiColon ? 1 : 0);
        }
        return 0;
    }
}
---FILE_END---</t>
  </si>
  <si>
    <t>org.apache.commons.lang3.text.translate.NumericEntityUnescaperTest::testUnfinishedEntity</t>
  </si>
  <si>
    <t xml:space="preserve">
Bug report URL: https://issues.apache.org/jira/browse/LANG-617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 TODO: Protect from ArrayIndexOutOfBounds
        if(input.charAt(index) == '&amp;' &amp;&amp; input.charAt(index + 1) == '#') {
            int start = index + 2;
            boolean isHex = false;
            char firstChar = input.charAt(start);
            if(firstChar == 'x' || firstChar == 'X') {
                start++;
                isHex = true;
            }
            int end = start;
            while(input.charAt(end) != ';') {
                end++;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</si>
  <si>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if(input.charAt(index) == '&amp;' &amp;&amp; index &lt; input.length() - 2 &amp;&amp; input.charAt(index + 1) == '#') {
            int start = index + 2;
            boolean isHex = false;
            char firstChar = input.charAt(start);
            if(firstChar == 'x' || firstChar == 'X') {
                start++;
                isHex = true;
                if(start == input.length()) {
                    return 0;
                }
            }
            int end = start;
            while(end &lt; input.length() &amp;&amp; input.charAt(end) != ';') {
                end++;
            }
            if(end == input.length()) {
                return 0;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t>
  </si>
  <si>
    <t>org.apache.commons.lang3.text.translate.NumericEntityUnescaperTest::testSupplementaryUnescaping</t>
  </si>
  <si>
    <t>PROJECT</t>
  </si>
  <si>
    <t>BUG</t>
  </si>
  <si>
    <t>PROMPT</t>
  </si>
  <si>
    <t>RAW OUTPUT</t>
  </si>
  <si>
    <t>EXCEPTION</t>
  </si>
  <si>
    <t>COMPILE</t>
  </si>
  <si>
    <t>NUMBER OF FAILED TESTS</t>
  </si>
  <si>
    <t>FAILED TESTS</t>
  </si>
  <si>
    <t>TIMESTAMP</t>
  </si>
  <si>
    <t>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validation.FileValidatorTest::testValidate_WritableFile</t>
  </si>
  <si>
    <t>com.google.javascript.jscomp.CollapseVariableDeclarationsTest::testIssue820;com.google.javascript.jscomp.CommandLineRunnerTest::testDefineFlag;com.google.javascript.jscomp.CommandLineRunnerTest::testGetMsgWiring</t>
  </si>
  <si>
    <t>com.google.javascript.jscomp.LightweightMessageFormatterTest::testFormatErrorSpaceEndOfLine1;com.google.javascript.jscomp.LightweightMessageFormatterTest::testFormatErrorSpaceEndOfLine2</t>
  </si>
  <si>
    <t>com.google.javascript.jscomp.UnreachableCodeEliminationTest::testCascadedRemovalOfUnlessUnconditonalJumps;com.google.javascript.jscomp.UnreachableCodeEliminationTest::testTryCatchFinally;com.google.javascript.jscomp.UnreachableCodeEliminationTest::testIssue311</t>
  </si>
  <si>
    <t>com.google.javascript.jscomp.CheckGlobalThisTest::testPropertyOfMethod;com.google.javascript.jscomp.CheckGlobalThisTest::testMethod4;com.google.javascript.jscomp.CheckGlobalThisTest::testInterface1</t>
  </si>
  <si>
    <t>com.google.javascript.jscomp.ClosureReverseAbstractInterpreterTest::testGoogIsObject1;com.google.javascript.jscomp.ClosureReverseAbstractInterpreterTest::testGoogIsArray2</t>
  </si>
  <si>
    <t>com.google.javascript.jscomp.ExploitAssignsTest::testIssue1017</t>
  </si>
  <si>
    <t>com.google.javascript.jscomp.LooseTypeCheckTest::testMethodInference7;com.google.javascript.jscomp.TypeCheckTest::testMethodInference7;com.google.javascript.rhino.jstype.FunctionTypeTest::testSupAndInfOfReturnTypesWithNumOfParams</t>
  </si>
  <si>
    <t>org.apache.commons.collections4.collection.UnmodifiableBoundedCollectionTest::testDecorateFactory;org.apache.commons.collections4.collection.UnmodifiableBoundedCollectionTest::testUnmodifiable</t>
  </si>
  <si>
    <t>org.apache.commons.csv.CSVParserTest::testGetLineNumberWithCR</t>
  </si>
  <si>
    <t>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t>
  </si>
  <si>
    <t>org.apache.commons.csv.CSVRecordTest::testToMapWithNoHeader</t>
  </si>
  <si>
    <t>com.fasterxml.jackson.core.json.GeneratorFailTest::testFailOnWritingStringNotFieldNameBytes;com.fasterxml.jackson.core.json.GeneratorFailTest::testFailOnWritingStringNotFieldNameChars</t>
  </si>
  <si>
    <t>com.fasterxml.jackson.core.json.ParserSequenceTest::testInitialized</t>
  </si>
  <si>
    <t>com.fasterxml.jackson.databind.ser.TestEnumSerialization::testEnumsWithJsonValueInMap;com.fasterxml.jackson.databind.ser.TestEnumSerialization::testMapWithEnumKeys;com.fasterxml.jackson.databind.ser.TestMapSerialization::testClassKey</t>
  </si>
  <si>
    <t>com.fasterxml.jackson.databind.objectid.JSOGDeserialize622Test::testAlterativePolymorphicRoundTrip669;com.fasterxml.jackson.databind.objectid.JSOGDeserialize622Test::testPolymorphicRoundTrip;com.fasterxml.jackson.databind.objectid.JSOGDeserialize622Test::testStructJSOGRef;com.fasterxml.jackson.databind.objectid.TestObjectIdDeserialization::testSimpleUUIDForClassRoundTrip;com.fasterxml.jackson.databind.objectid.TestObjectIdDeserialization::testNullObjectId;com.fasterxml.jackson.databind.objectid.TestObjectIdSerialization::testNullStringPropertyId;com.fasterxml.jackson.databind.objectid.TestObjectIdWithEquals::testEqualObjectIdsExternal</t>
  </si>
  <si>
    <t>com.fasterxml.jackson.databind.ser.DateSerializationTest::testDateDefaultShape</t>
  </si>
  <si>
    <t>com.fasterxml.jackson.databind.type.TestJavaType::testGenericSignature1195</t>
  </si>
  <si>
    <t>com.fasterxml.jackson.databind.ser.TestEnumSerialization::testToStringEnum;com.fasterxml.jackson.databind.struct.EnumFormatShapeTest::testEnumPropertyAsNumber</t>
  </si>
  <si>
    <t>com.fasterxml.jackson.databind.ser.DateSerializationTest::testDateWithJsonFormat;com.fasterxml.jackson.databind.ser.DateSerializationTest::testFormatWithoutPattern;com.fasterxml.jackson.databind.ser.DateSerializationTest::testDateDefaultShape</t>
  </si>
  <si>
    <t>com.fasterxml.jackson.databind.interop.IllegalTypesCheckTest::testC3P0Types</t>
  </si>
  <si>
    <t>com.fasterxml.jackson.databind.ser.jdk.DateSerializationTest::testDateWithJsonFormat;com.fasterxml.jackson.databind.ser.jdk.DateSerializationTest::testFormatWithoutPattern;com.fasterxml.jackson.databind.ser.jdk.DateSerializationTest::testDateDefaultShape;com.fasterxml.jackson.databind.ser.jdk.SqlDateSerializationTest::testSqlDateConfigOverride</t>
  </si>
  <si>
    <t>org.jsoup.parser.HtmlParserTest::preservesSpaceInTextArea;org.jsoup.parser.TagTest::valueOfChecksNotEmpty</t>
  </si>
  <si>
    <t>org.jsoup.safety.CleanerTest::basicBehaviourTest;org.jsoup.safety.CleanerTest::handlesCustomProtocols;org.jsoup.safety.CleanerTest::preservesRelativeLinksIfConfigured;org.jsoup.safety.CleanerTest::testIsValid</t>
  </si>
  <si>
    <t>org.jsoup.parser.CharacterReaderTest::containsIgnoreCase</t>
  </si>
  <si>
    <t>org.jsoup.integration.ParseTest::testBaiduVariant;org.jsoup.integration.ParseTest::testGoogleSearchIpod;org.jsoup.integration.ParseTest::testBaidu;org.jsoup.nodes.DocumentTest::testClonesDeclarations;org.jsoup.nodes.DocumentTest::testHtmlAndXmlSyntax;org.jsoup.nodes.DocumentTypeTest::outerHtmlGeneration;org.jsoup.nodes.DocumentTypeTest::constructorValidationOkWithBlankName;org.jsoup.nodes.DocumentTypeTest::constructorValidationOkWithBlankPublicAndSystemIds;org.jsoup.parser.HtmlParserTest::normalisesDocument;org.jsoup.parser.HtmlParserTest::handlesInvalidDoctypes;org.jsoup.parser.HtmlParserTest::handlesUnclosedFormattingElements;org.jsoup.parser.XmlTreeBuilderTest::testCommentAndDocType</t>
  </si>
  <si>
    <t>org.jsoup.nodes.FormElementTest::removeFormElement;org.jsoup.nodes.FormElementTest::adoptedFormsRetainInputs</t>
  </si>
  <si>
    <t>org.jsoup.helper.W3CDomTest::namespacePreservation;org.jsoup.helper.W3CDomTest::handlesInvalidAttributeNames</t>
  </si>
  <si>
    <t>org.jsoup.helper.W3CDomTest::treatsUndeclaredNamespaceAsLocalName</t>
  </si>
  <si>
    <t>org.jsoup.nodes.AttributeTest::testWithSupplementaryCharacterInAttributeKeyAndValue;org.jsoup.nodes.AttributeTest::html;org.jsoup.nodes.AttributeTest::validatesKeysNotEmpty;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</si>
  <si>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</si>
  <si>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(String) names.get(opt);
        if (key == null)
        {
            key = 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</si>
  <si>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</si>
  <si>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@throws ParseException if the value creation fails
     */
    public static Object createValue(String str, Object obj)
    throws ParseException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@throws ParseException if the value creation fails
     */
    public static Object createValue(String str, Class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 @throws ParseException if the class could not be found or an
      * instance could not be created
      */
    public static Object createObject(String str)
    throws ParseException {
        Class cl = null;
        try
        {
            cl = Class.forName(str);
        }
        catch (ClassNotFoundException cnfe)
        {
            throw new ParseException("Unable to find the class: " + str);
        }
        Object instance = null;
        try
        {
            instance = cl.newInstance();
        }
        catch (Exception e)
        {
            throw new ParseException(e.getClass().getName()
                                     + "; Unable to create an instance of: "
                                     + str);
        }
        return instance;
    }
    /**
     * &lt;p&gt;Create a number from a String. If a . is present, it creates a 
     *    Double, otherwise a Long. &lt;/p&gt;
     *
     * @param str the value
     * @return the number represented by &lt;code&gt;str&lt;/code&gt;
     * @throws ParseException if &lt;code&gt;str&lt;/code&gt; is not a number
     */
    public static Number createNumber(String str)
    throws ParseException {
        try
        {
            return org.apache.commons.lang.math.NumberUtils.createNumber(str);
        }
        catch (NumberFormatException nfe)
        {
            throw new ParseException(nfe.getMessage());
        }
    }
    /**
     * &lt;p&gt;Returns the class whose name is &lt;code&gt;str&lt;/code&gt;.&lt;/p&gt;
     *
     * @param str the class name
     * @return The class if it is found
     * @throws ParseException if the class could not be found
     */
    public static Class createClass(String str)
    throws ParseException {
        try
        {
            return Class.forName(str);
        }
        catch (ClassNotFoundException cnfe)
        {
            throw new ParseException("Unable to find the class: " + str);
        }
    }
    /**
     * &lt;p&gt;Returns the date represented by &lt;code&gt;str&lt;/code&gt;.&lt;/p&gt;
     *
     * This method is not yet implemented and always throws an
     * {@link UnsupportedOperationException}.
     *
     * @param str the date string
     * @return The date if &lt;code&gt;str&lt;/code&gt; is a valid date string.
     * @throws UnsupportedOperationException always
     */
    public static Date createDate(String str)
    throws ParseException {
        throw new UnsupportedOperationException("Not yet implemented");
    }
    /**
     * &lt;p&gt;Returns the URL represented by &lt;code&gt;str&lt;/code&gt;.&lt;/p&gt;
     *
     * @param str the URL string
     * @return The URL is &lt;code&gt;str&lt;/code&gt; is well-formed
     * @throws ParseException if the URL is malformed
     */
    public static URL createURL(String str)
    throws ParseException {
        try
        {
            return new URL(str);
        }
        catch (MalformedURLException mue)
        {
            throw new ParseException("Unable to parse the URL: " + str);
        }
    }
    /**
     * &lt;p&gt;Returns the File represented by &lt;code&gt;str&lt;/code&gt;.&lt;/p&gt;
     *
     * @param str the File location
     * @return The file represented by &lt;code&gt;str&lt;/code&gt;.
     */
    public static File createFile(String str)
    {
        return new File(str);
    }
    /**
     * &lt;p&gt;Returns the File[] represented by &lt;code&gt;str&lt;/code&gt;.&lt;/p&gt;
     *
     * &lt;p&gt;This method is not yet implemented and always returns &lt;code&gt;null&lt;/code&gt;.&lt;/p&gt;
     *
     * @param str the paths to the files
     * @return The File[] represented by &lt;code&gt;str&lt;/code&gt;.
     */
    public static File[] createFiles(String str)
    {
        // to implement/port:
        //        return FileW.findFiles(str);
        return null;
    }
}
---FILE_END---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</si>
  <si>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</si>
  <si>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
            return null;
        }
        if (str.startsWith("\\"")) {
            str = str.substring(1, str.length());
        }
        if (str.endsWith("\\"")) {
            str = str.substring(0, str.length()-1);
        }
        return str;
    }
}
---FILE_END---</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</si>
  <si>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</si>
  <si>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else {
                abuilder.withMinimum(0);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</si>
  <si>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</si>
  <si>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if (opt.indexOf('=') != -1 &amp;&amp; options.hasOption(opt.substring(0, opt.indexOf('='))))
                {
                    // the format is --foo=value or -foo=value
                    tokens.add(arg.substring(0, arg.indexOf('=')));
                    tokens.add(arg.substring(arg.indexOf('=') + 1));
                }
                else if (options.hasOption(arg.substring(0, 2)))
                {
                    // the format is a special properties option (-Dproperty=value)
                    tokens.add(arg.substring(0, 2)); // -D
                    tokens.add(arg.substring(2)); // property=value
                }
                else
                {
                    eatTheRest = stopAtNonOption;
                    tokens.add(arg);
                }
            }
            else
            {
                tokens.add(arg);
            }
            if (eatTheRest)
            {
                for (i++; i &lt; arguments.length; i++)
                {
                    tokens.add(arguments[i]);
                }
            }
        }
        return (String[]) tokens.toArray(new String[tokens.size()]);
    }
}
---FILE_END---</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</si>
  <si>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</si>
  <si>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List valueList = getUndefaultedValues(option);
        if (valueList.isEmpty()) {
            if (defaultValues != null) {
                return defaultValues;
            }
            valueList = (List) this.defaultValues.get(option);
            if (valueList != null) {
                return valueList;
            }
            return Collections.EMPTY_LIST;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</si>
  <si>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</si>
  <si>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the option is not in this group, then an exception is thrown
        if (!optionMap.containsKey(option.getKey()))
        {
            throw new IllegalArgumentException("Option '" + option.getKey() + "' is not a member of this option group.");
        }
        // if no option has already been selected or the 
        // same option is being reselected then set the
        // selected member variable
        if (selected == null || selected.equals(option.getKey()))
        {
            selected = option.getKey();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</si>
  <si>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</si>
  <si>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int length = str.length();
        if (length &gt; 1 &amp;&amp; str.startsWith("\"") &amp;&amp; str.endsWith("\""))
        {
            str = str.substring(1, length - 1);
        }
        return str;
    }
}
---FILE_END---</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</si>
  <si>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</si>
  <si>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createInputStream(str);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createInputStream(final String str) throws ParseException
    {
        try
        {
            return new FileInputStream(str);
        }
        catch (final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</si>
  <si>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</si>
  <si>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java.math.BigInteger;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 Tries to convert to a long, if it fails then a BigInteger is tried
            try
            {
                return Long.valueOf(str);
            }
            catch (NumberFormatException e)
            {
                return new BigInteger(str);
            }
        }
        catch (final NumberFormatException e)
        {
            throw new ParseException("'" + str + "' is not a valid number");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</si>
  <si>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</si>
  <si>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`CollapseVariableDeclarations` pass incorrectly handles JSDoc information, leading to its loss during the collapse of `var` statements. There are two issues to address for a complete fix:
1.  When multiple `var` statements are collapsed, any JSDoc on the initial `var` statement is not transferred to the newly created, combined `var` statement. This is the primary bug reported.
2.  If subsequent `var` statements in a collapsible sequence also have JSDoc (e.g., different type annotations), collapsing them would lead to incorrect JSDoc being applied to variables from the later statements. The current implementation would do this, causing a new correctness issue.
To resolve these, I will make two changes:
1.  In the `GatherCollapses.visit` method, I will add a check to prevent collapsing a sequence of nodes if any node after the first one contains JSDoc. This ensures we don't merge declarations with conflicting or distinct JSDoc annotations.
2.  In the `applyCollapses` method, I will ensure that the JSDoc from the first `var` statement (`collapse.startNode`) is copied to the new combined `var` node.
3.  Additionally, in `applyCollapses`, when an assignment is folded into a `var` declaration (a "redeclaration"), a `/** @suppress {duplicate} */` annotation is added. The existing logic overwrites any JSDoc. I will modify it to append the suppression to any existing JSDoc, preserving it.
These changes will ensure JSDoc is preserved correctly and prevent incorrect merges.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 Don't trying to combine a var with a JSDoc.
        if (n.getJSDocInfo() != null) {
          break;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var.setJSDocInfo(collapse.startNode.getJSDocInfo());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var.getJSDocInfo();
        if (info == null) {
          info = new JSDocInfo();
          var.setJSDocInfo(info);
        }
        info.addSuppression("duplicate");
      }
    }
  }
}
---FILE_END---</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</si>
  <si>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</si>
  <si>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 After a traversal, the state of the scope is reset.
      traversalState.peek().reset();
      Node c = node.getFirstChild();
      while(c != null) {
        traverse(c);
        Node next = c.getNext();
        c = next;
      }
      visit(node);
      visits++;
      Preconditions.checkState(visits &lt; 10000, "too many iterations");
    } while (shouldRetraverse(node));
    exitNode(node);
  }
  private boolean isScope(Node node) {
    return node.isFunction() || node.isScript();
  }
  private boolean shouldRetraverse(Node node) {
    if (isScope(node)) {
      ScopeState state = traversalState.peek();
      if (state.changed) {
        // prepare to re-visit the scope:
        // when revisiting, only visit the immediate scope
        // this reduces the cost of getting to a fixed
        // point in global scope.
        state.traverseChildScopes = false;
        return true;
      }
    }
    return false;
  }
  private boolean shouldVisit(Node node) {
    if (isScope(node)) {
      ScopeState previous = traversalState.peek();
      if (!previous.traverseChildScopes) {
        return false;
      }
      traversalState.push();
    }
    return true;
  }
  private void exitNode(Node node) {
    if (isScope(node))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</si>
  <si>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</si>
  <si>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`CheckSideEffects` failing to report a useless expression when it is the last operand of a comma operator in a statement context. For instance, in `a, b;`, if `b` has no side effects, it should be flagged. The original code incorrectly assumes that the result of `b` is used because it's the result of the comma expression, without checking if the comma expression's result itself is used.
The fix involves restructuring the logic inside `visit` method for `COMMA` nodes.
Currently, it first checks `isResultUsed` and returns if it's true. This is what causes the bug for the last operand of a comma. Then, it has a separate check for the last child of a comma (`if (n == parent.getLastChild())`).
The fix is to handle the last child of a comma separately and more accurately. For the last child, we should not rely on `isResultUsed(n)`. Instead, we must check if the result of the entire comma expression is used. The existing code already has logic for this using an ancestor traversal. For other children of the comma, their result is never used, so `isResultUsed` should be false for them.
The change reorders the checks. It first checks if the current node `n` is the last child of the comma. If so, it performs the ancestor check to determine if the comma expression's result is used. If `n` is not the last child, it can rely on the `isResultUsed` check as before. This correctly separates the logic and fixes the bug for expressions like `a, b;`.
Here is the code with the fix applied: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(n == parent.getLastChild()) {
        for (Node an : parent.getAncestors()) {
          int ancestorType = an.getType();
          if (ancestorType == Token.COMMA) continue;
          if (ancestorType != Token.EXPR_RESULT &amp;&amp; ancestorType != Token.BLOCK) return;
          else break;
        }
      } else if (isResultUsed) {
        return;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</si>
  <si>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</si>
  <si>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code reveals an issue in `CheckSideEffects.java`. The compiler incorrectly flags `(0,eval)('...')` as "useless code". This pattern is a known technique to execute `eval` in the global scope.
The `CheckSideEffects.visit` method contains logic to detect and suppress this warning for the `(..., eval)` pattern. However, the original implementation of this check is flawed. It includes a condition `parent.getChildCount() == 2`, which appears to be too strict or is failing for reasons not immediately obvious from the code structure, possibly due to how the AST is constructed in some cases. Additionally, the code structure is difficult to read due to inconsistent indentation and brace placement, which might obscure the logical flow.
The fix involves replacing the buggy checking logic within the `if (parent.getType() == Token.COMMA)` block. The corrected logic is more robust: it first checks if the current node `n` is the first child of a comma expression. If so, it then verifies if this comma expression is being used as the function in a `CALL` node. Finally, it checks if the next sibling of `n` is the `eval` function. This rewritten logic correctly identifies the indirect eval pattern without the overly restrictive `getChildCount() == 2` check and with a clearer structure.
By applying this change, the compiler will no longer issue a false positive "useless code" warning for valid indirect `eval` calls.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if (n == parent.getFirstChild()) {
        Node gramps = parent.getParent();
        if (gramps.isCall() &amp;&amp; parent == gramps.getFirstChild()) {
          // In a call, a comma expression wrapping the function to be called is
          // used to trigger an indirect call, to ensure that "this" is the
          // global object. In such cases, the expression preceding the function
          // name is without side-effects, so we need to special case it.
          Node fun = n.getNext();
          if (fun != null &amp;&amp; fun.isName() &amp;&amp; "eval".equals(fun.getString()))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</si>
  <si>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</si>
  <si>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@Override
    void addNumber(double x) {
      // All numbers are represented as the same cost.
      add("0");
    }
    /**
     * Constants (true, false, null) are considered basically free,
     * because it's likely that they will get folded when we're done.
     */
  }
}
---FILE_END---</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</si>
  <si>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</si>
  <si>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
   * @return The last two characters of the last string sent to append.
   */
  abstract String getLastChars(int n);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if (!getLastChars(2).equals("--")) {
        append(" ");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</si>
  <si>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</si>
  <si>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</si>
  <si>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</si>
  <si>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 A space is also needed for the case of x + -4.  x - -4 is a syntax
    // error, but x + -4 is fine.  The extra space makes the code more
    // readable.
    if (x &lt; 0 &amp;&amp; (prev == '-' ||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</si>
  <si>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</si>
  <si>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caret (`^`) used to point out errors is not displayed correctly for warnings or errors that are part of a multi-line statement when a multi-line excerpt (`REGION`) of the source is shown.
The existing code in `LightweightMessageFormatter.java` only handles placing the caret for single-line excerpts (`LINE`). When a `REGION` is used, the logic to display a caret is skipped entirely.
The fix is to add a new logic block to handle `REGION` excerpts. This new logic will:
1.  Parse the multi-line `sourceExcerpt` string, which includes line numbers added by `LineNumberingFormatter`, to find the specific line corresponding to the error's line number (`error.lineNumber`).
2.  Once the correct line is identified, it calculates the necessary whitespace padding to position the caret correctly. This padding must account for the prefix added by the formatter (e.g., `"  123| "`).
3.  It then mimics the original code's behavior by preserving whitespace from the source code up to the character position of the error (`error.charno`) to ensure the caret aligns properly.
This change is confined to the `format()` method of `LightweightMessageFormatter` and correctly extends its functionality to support multi-line excerpts without requiring significant refactoring of other components.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com.google.common.base.Strings;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
        if (0 &lt;= charno &amp;&amp; charno &lt; sourceExcerpt.length()) {
          for (int i = 0; i &lt; charno; i++) {
            char c = sourceExcerpt.charAt(i);
            if (Character.isWhitespace(c)) {
              b.append(c);
            } else {
              b.append(' ');
            }
          }
          b.append("^\n");
        }
      } else if (excerpt.equals(SourceExcerpt.REGION) &amp;&amp; 0 &lt;= charno) {
        // Find the line number of the first line of the excerpt.
        int beginningLine = -1;
        String[] lines = sourceExcerpt.split("\n", -1);
        for (String line : lines) {
          int pipe = line.indexOf('|');
          if (pipe == -1) {
            continue;
          }
          String numStr = line.substring(0, pipe).trim();
          if (!numStr.isEmpty()) {
            try {
              beginningLine = Integer.parseInt(numStr);
              break;
            } catch (NumberFormatException e) {
              // ignore
            }
          }
        }
        if (beginningLine != -1 &amp;&amp; error.lineNumber &gt;= beginningLine) {
          int lineIndex = error.lineNumber - beginningLine;
          if (lineIndex &lt; lines.length) {
            String line = lines[lineIndex];
            int pipe = line.indexOf('|');
            if (pipe != -1) {
              String code = line.substring(pipe + 2);
              // a) create correct leading whitespace
              StringBuilder builder = new StringBuilder();
              int prefixLen = pipe + 2;
              builder.append(Strings.repeat(" ", prefixLen));
              // b) copy characters from code to charno
              for (int i = 0; i &lt; charno &amp;&amp; i &lt; code.length(); i++) {
                char c = code.charAt(i);
                if (Character.isWhitespace(c)) {
                  builder.append(c);
                } else {
                  builder.append(' ');
                }
              }
              b.append(builder.toString());
              b.append("^\n");
            }
          }
        }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</si>
  <si>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</si>
  <si>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 The CATCH node's presence changes semantics, so we can't
        // just remove it. It might be that the try block contains native
        // code that can throw an exception, but the analysis doesn't
        // know about it.
        return;
    }
    NodeUtil.redeclareVarsInsideBranch(n);
    compiler.reportCodeChange();
    if (logger.isLoggable(Level.FINE)) {
      logger.fine("Removing " + n.toString());
    }
    NodeUtil.removeChild(n.getParent(), n);
  }
}
---FILE_END---</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</si>
  <si>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</si>
  <si>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values
            (parent.getParent() != null &amp;&amp;
             parent.getParent().getType() == Token.OBJECTLIT &amp;&amp;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</si>
  <si>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</si>
  <si>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Token.STRING) {
        // This is a key in an object literal.
        return false;
      } else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{}\n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</si>
  <si>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</si>
  <si>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
        parent.getType() == Token.GETELEM)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</si>
  <si>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</si>
  <si>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file suggests that the reverse abstract interpreter for `goog.isObject` is modeling an incorrect version of the function.
At the time the bug was filed, `goog.isObject(x)` was equivalent to `x != null &amp;&amp; typeof x == 'object'`, which returns `false` for functions. The implementation in `ClosureReverseAbstractInterpreter.java`, however, models a version of `goog.isObject` that returns `true` for functions. This is evident from the comment and the implementation of `restrictToObjectVisitor` and `restrictToNotObjectVisitor`.
The bug report states that in the `else` branch of `if (goog.isObject(x))`, the type is incorrectly inferred. With `x` being of any type (`*`), `!goog.isObject(x)` should mean `x` can be a primitive, `null`, or a function. The current implementation incorrectly excludes functions from the resulting type.
The fix involves correcting the model for `goog.isObject` to align with its actual behavior:
1.  **`restrictToObjectVisitor`:** This visitor handles the case where `goog.isObject` returns `true`. It should be modified to exclude functions. The comment will also be updated to reflect this.
2.  **`restrictToNotObjectVisitor`:** This visitor handles the case where `goog.isObject` returns `false`. It should be modified to *include* functions. This also requires fixing the `caseAllType` method to add the `Function` type to the resulting union when refining from the top type (`*`).
These changes will make the type inference for `goog.isObject` consistent with its behavior in the Closure Library.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com.google.javascript.rhino.jstype.JSTypeNative.FUNCTION_INSTANCE_TYPE;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is for objects that are
   * not functions or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null;
        }
      };
  /**
   * For when {@code goog.isObject} returns false.
   */
  private final Visitor&lt;JSType&gt; restrictToNotObjectVisitor =
      new RestrictByFalseTypeOfResultVisitor() {
        @Override
        public JSType caseAllType() {
          return typeRegistry.createUnionType(
              getNativeType(NUMBER_STRING_BOOLEAN),
              getNativeType(NULL_VOID),
              getNativeType(FUNCTION_INSTANCE_TYPE));
        }
        @Override
        public JSType caseObjectType(ObjectType type) {
          return null;
        }
        @Override
        public JSType caseFunctionType(FunctionType type) {
          return type;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</si>
  <si>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</si>
  <si>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if (next == assign.getFirstChild())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</si>
  <si>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</si>
  <si>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 Add a block to FORs that don't have one.  This is a special case, an
    // empty statement for a FOR would be an EMPTY node, not a block.
    //
    // It's not safe to normalize FOR loops with the general logic below,
    // because it will replace the initializers and increments with blocks if
    // they are empty.
    if (n.isFor()) {
      Node body = n.getLastChild();
      if (!body.isBlock()) {
        Node newBlock = IR.block().srcref(n);
        n.replaceChild(body, newBlock);
        if (!body.isEmpty()) {
          newBlock.addChildrenToFront(body);
        } else {
          newBlock.setWasEmptyNode(true);
        }
        reportChange();
      }
    } else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</si>
  <si>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</si>
  <si>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'c': c=s.charAt(3);
                    if (c=='e') { if (s.charAt(2)=='s' &amp;&amp; s.charAt(1)=='a') {
                            id=true; break complete;} }
                    break partial;
                case 'e': c=s.charAt(3);
                    if (c=='e') { if (s.charAt(2)=='s' &amp;&amp; s.charAt(1)=='l') {
                            id=true; break complete;} }
                    else if (c=='m') {
                      if (s.charAt(2)=='u' &amp;&amp; s.charAt(1)=='n') {
                            id=true; break complete;} }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break partial;
                case 'p': X="super";id=true; break partial;
                case 'r': X="throw";id=true; break partial;
                case 't': X="catch";id=true; break partial;
                } break partial;
            case 6: switch (s.charAt(1)) {
                case 'e': c=s.charAt(0);
                    if (c=='d') { X="delete";id=true; }
                    else if (c=='r') { X="return";id=true; }
                    break partial;
                case 'm': X="import";id=true;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'r': X="private";id=true; break partial;
                case 'x': X="extends";id=true; break partial;
                } break partial;
            case 8: switch (s.charAt(0)) {
                case 'c': X="continue";id=true; break partial;
                case 'd': X="debugger";id=true; break partial;
                case 'f': X="function";id=true; break partial;
                } break partial;
            case 9: c=s.charAt(0);
                if (c=='i') { X="interface";id=true; }
                else if (c=='p') { X="protected";id=true; }
                break partial;
            case 10: c=s.charAt(1);
                if (c=='m') { X="implements";id=true; }
                else if (c=='n') { X="instanceof";id=true; }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</si>
  <si>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</si>
  <si>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static com.google.javascript.rhino.jstype.JSTypeNative.VOID_TYPE;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(thisParam.isOptionalArg()) {
        thisParamType = thisParamType.getLeastSupertype(getNativeType(VOID_TYPE));
      }
      if (thatParam.isOptionalArg()) {
        thatParamType = thatParamType.getLeastSupertype(getNativeType(VOID_TYPE));
      }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</si>
  <si>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</si>
  <si>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while (readLen == 0) {
                if (!base64.hasData()) {
                    byte[] buf = new byte[doEncode ? 4096 : 8192];
                    int c = in.read(buf);
                    if (doEncode) {
                        base64.encode(buf, 0, c);
                    } else {
                        base64.decode(buf, 0, c);
                    }
                }
                readLen =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</si>
  <si>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</si>
  <si>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source String the source string
     * @return A caverphone code for the given String
     */
    public String caverphone(String source) {
        if( source == null || source.length() == 0 ) {
            return "1111111111";
        }
        // 1. Convert to lowercase
        String txt = source.toLowerCase(java.util.Locale.ENGLISH);
        // 2. Remove anything not A-Z
        txt = txt.replaceAll("[^a-z]", "");
        // 2.5. Remove final e
        if (txt.endsWith("e")) {
            txt = txt.substring(0, txt.length() -1);
        }
        // 3. Handle various start options
        if (txt.startsWith("cough")) {
            txt = "cou2f" + txt.substring(5);
        } else if (txt.startsWith("rough")) {
            txt = "rou2f" + txt.substring(5);
        } else if (txt.startsWith("tough")) {
            txt = "tou2f" + txt.substring(5);
        } else if (txt.startsWith("enough")) {
            txt = "enou2f" + txt.substring(6);
        } else if (txt.startsWith("trough")) {
            txt = "trou2f" + txt.substring(6);
        } else if (txt.startsWith("gn")) {
            txt = "2n" + txt.substring(2);
        }
        // End
        if (txt.endsWith("mb")) {
            txt = txt.substring(0, txt.length() - 2) + "m2";
        }
        // 4. Handle replacements
        txt = txt.replace("cq", "2q");
        txt = txt.replace("ci", "si");
        txt = txt.replace("ce", "se");
        txt = txt.replace("cy", "sy");
        txt = txt.replace("tch", "2ch");
        txt = txt.replace("c", "k");
        txt = txt.replace("q", "k");
        txt = txt.replace("x", "k");
        txt = txt.replace("v", "f");
        txt = txt.replace("dg", "2g");
        txt = txt.replace("tio", "sio");
        txt = txt.replace("tia", "sia");
        txt = txt.replace("d", "t");
        txt = txt.replace("ph", "fh");
        txt = txt.replace("b", "p");
        txt = txt.replace("sh", "s2");
        txt = txt.replace("z", "s");
        if (txt.startsWith("a") || txt.startsWith("e") || txt.startsWith("i") || txt.startsWith("o") || txt.startsWith("u")) {
            txt = "A" + txt.substring(1);
        }
        txt = txt.replace("a", "3");
        txt = txt.replace("e", "3");
        txt = txt.replace("i", "3");
        txt = txt.replace("o", "3");
        txt = txt.replace("u", "3");
        txt = txt.replace("j", "y");
        if (txt.startsWith("y3")) {
            txt = "Y3" + txt.substring(2);
        }
        if (txt.startsWith("y")) {
            txt = "A" + txt.substring(1);
        }
        txt = txt.replace("y", "3");
        txt = txt.replace("3gh3", "3kh3");
        txt = txt.replace("gh", "22");
        txt = txt.replace("g", "k");
        txt = txt.replaceAll("s+", "S");
        txt = txt.replaceAll("t+", "T");
        txt = txt.replaceAll("p+", "P");
        txt = txt.replaceAll("k+", "K");
        txt = txt.replaceAll("f+", "F");
        txt = txt.replaceAll("m+", "M");
        txt = txt.replaceAll("n+", "N");
        txt = txt.replace("w3", "W3");
        txt = txt.replace("wh3", "Wh3");
        if (txt.endsWith("w")) {
            txt = txt.substring(0, txt.length() - 1) + "3";
        }
        txt = txt.replace("w", "2");
        if (txt.startsWith("h")) {
            txt = "A" + txt.substring(1);
        }
        txt = txt.replace("h", "2");
        txt = txt.replace("r3", "R3");
        if (txt.endsWith("r")) {
            txt = txt.substring(0, txt.length() - 1) + "3";
        }
        txt = txt.replace("r", "2");
        txt = txt.replace("l3", "L3");
        if (txt.endsWith("l")) {
            txt = txt.substring(0, txt.length() - 1) + "3";
        }
        txt = txt.replace("l", "2");
        // 5. Handle removals
        txt = txt.replace("2", "");
        if (txt.endsWith("3")) {
            txt = txt.substring(0, txt.length() - 1) + "A";
        }
        txt = txt.replace("3",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</si>
  <si>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</si>
  <si>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boolean eof;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
            */
            while (readLen == 0) {
                if (!baseNCodec.hasData()) {
                    if (eof) {
                        return EOF;
                    }
                    byte[] buf = new byte[doEncode ? 4096 : 8192];
                    int c = in.read(buf);
                    if (c == EOF) {
                        eof = true;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</si>
  <si>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</si>
  <si>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 The hash code of some keys might have changed (hash codes based on the
     * system hash code are only stable for the same process).
     * @param in the input stream
     */
    private void readObject(ObjectInputStream in) throws IOException, ClassNotFoundException {
        in.defaultReadObject();
        calculateHashCode(keys);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</si>
  <si>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</si>
  <si>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new CaseInsensitiveMap(this);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</si>
  <si>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</si>
  <si>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org.apache.commons.collections.Equator;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&lt;code&gt;equalPredicate&lt;/code&gt; if you want that.
     * 
     * @param object  the object to compare to
     */
    @SuppressWarnings("unchecked")
    public EqualPredicate(T object) {
        // the DefaultEquator is used for equals() comparison
        this(object, DefaultEquator.INSTANCE);
    }
    /**
     * Constructor that performs no validation.
     * Use &lt;code&gt;equalPredicate&lt;/code&gt;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</si>
  <si>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</si>
  <si>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is an unusual case. After careful analysis of the bug report and the provided source code, it appears that the "original file" given in the prompt already contains the fix for the described bug.
The bug report (COLLECTIONS-495) states that `UnmodifiableTrie.prefixMap()` returns a modifiable map. This would happen if the implementation were `return delegate.prefixMap(key);`. The fix is to wrap the returned map to make it unmodifiable, like so: `return Collections.unmodifiableSortedMap(delegate.prefixMap(key));`.
The provided `UnmodifiableTrie.java` file already has this correct, fixed implementation for the `prefixMap` method. All other methods in the class that should return unmodifiable collections or throw exceptions on modification also appear to be implemented correctly.
Therefore, the file is already in its corrected state according to the bug report. I will provide the file content as is.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if (trie instanceof Unmodifiable) {
            @SuppressWarnings("unchecked") // safe to cast
            final UnmodifiableTrie&lt;K, V&gt; ut = (UnmodifiableTrie&lt;K, V&gt;) trie;
            return ut;
        }
        return new UnmodifiableTrie&lt;K, V&gt;(trie);
    }
    //-----------------------------------------------------------------------
    /**
     * Constructor that wraps (not copies).
     *
     * @param trie  the trie to decorate, must not be null
     * @throws IllegalArgumentException if trie is null
     */
    @SuppressWarnings("unchecked")
    public UnmodifiableTrie(final Trie&lt;K, ? extends V&gt; trie) {
        if (trie == null) {
            throw new IllegalArgumentException("Trie must not be null");
        }
        this.delegate = (Trie&lt;K, V&gt;) trie;
    }
    //-----------------------------------------------------------------------
    @Override
    public Set&lt;Entry&lt;K, V&gt;&gt; entrySet() {
        return Collections.unmodifiableSet(delegate.entrySet());
    }
    @Override
    public Set&lt;K&gt; keySet() {
        return Collections.unmodifiableSet(delegate.keySet());
    }
    @Override
    public Collection&lt;V&gt; values() {
        return Collections.unmodifiableCollection(delegate.values());
    }
    @Override
    public void clear() {
        throw new UnsupportedOperationException();
    }
    @Override
    public boolean containsKey(final Object key) {
        return delegate.containsKey(key);
    }
    @Override
    public boolean containsValue(final Object value) {
        return delegate.containsValue(value);
    }
    @Override
    public V get(final Object key) {
        return delegate.get(key);
    }
    @Override
    public boolean isEmpty() {
        return delegate.isEmpty();
    }
    @Override
    public V put(final K key, final V value) {
        throw new UnsupportedOperationException();
    }
    @Override
    public void putAll(final Map&lt;? extends K, ? extends V&gt; m) {
        throw new UnsupportedOperationException();
    }
    @Override
    public V remove(final Object key) {
        throw new UnsupportedOperationException();
    }
    @Override
    public int size() {
        return delegate.size();
    }
    @Override
    public K firstKey() {
        return delegate.firstKey();
    }
    @Override
    public SortedMap&lt;K, V&gt; headMap(final K toKey) {
        return Collections.unmodifiableSortedMap(delegate.headMap(toKey));
    }
    @Override
    public K lastKey() {
        return delegate.lastKey();
    }
    @Override
    public SortedMap&lt;K, V&gt; subMap(final K fromKey, final K toKey) {
        return Collections.unmodifiableSortedMap(delegate.subMap(fromKey, toKey));
    }
    @Override
    public SortedMap&lt;K, V&gt; tailMap(final K fromKey) {
        return Collections.unmodifiableSortedMap(delegate.tailMap(fromKey));
    }
    @Override
    public SortedMap&lt;K, V&gt; prefixMap(final K key) {
        return Collections.unmodifiableSortedMap(delegate.prefixMap(key));
    }
    @Override
    public Comparator&lt;? super K&gt; comparator() {
        return delegate.comparator();
    }
    //-----------------------------------------------------------------------
    @Override
    public OrderedMapIterator&lt;K, V&gt; mapIterator() {
        final OrderedMapIterator&lt;K, V&gt; it = delegate.mapIterator();
        return UnmodifiableOrderedMapIterator.unmodifiableOrderedMapIterator(it);
    }
    @Override
    public K nextKey(final K key) {
        return delegate.nextKey(key);
    }
    @Override
    public K previousKey(final 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</si>
  <si>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</si>
  <si>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by unwrapping
        Collection&lt;?&gt; c = coll;
        for (int i = 0; i &lt; 1000; i++) {  // counter to prevent infinite looping
            if (c instanceof BoundedCollection) {
                break;  // normal loop exit
            }
            if (c instanceof AbstractCollectionDecorator) {
                c = ((AbstractCollectionDecorator&lt;?&gt;) c).decorated();
            } else if (c instanceof SynchronizedCollection) {
                c = ((SynchronizedCollection&lt;?&gt;) c).decorated();
            } else {
                // no more decorators available
                break;
            }
        }
        if (c instanceof BoundedCollection == false) {
            throw new IllegalArgumentException("The collection is not a bounded collection");
        }
        return new UnmodifiableBoundedCollection&lt;E&gt;((BoundedCollection&lt;? extends E&gt;) c);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</si>
  <si>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</si>
  <si>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a variable number of keys.
     * &lt;p&gt;
     * The keys should be immutable
     * If they are not then they must not be changed after adding to the MultiKey.
     *
     * @param keys  the array of keys, not null
     * @throws IllegalArgumentException if the key array is null
     * @since 4.0
     */
    @SafeVarargs
    public MultiKey(final K... keys) {
        this(keys,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</si>
  <si>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</si>
  <si>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private ArArchiveEntry currentEntry = null;
    /*
     * The offset where the current entry started. -1 if no entry has been
     * called
     */
    private long entryOffset = -1;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long toSkip = entryEnd - offset;
            byte[] buff = new byte[8192];
            while (toSkip &gt; 0) {
                int read = read(buff, 0, (int) Math.min(toSkip, buff.length));
                if (read == -1) {
                    break;
                }
                toSkip -= read;
            }
            currentEntry = null;
        }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if (input.available() == 0) {
            return null;
        }
        if (offset % 2 != 0) {
            if (read() &lt; 0) {
                return null;
            }
        }
        final byte[] name = new byte[16];
        final byte[] lastmodified = new byte[12];
        final byte[] userid = new byte[6];
        final byte[] groupid = new byte[6];
        final byte[] filemode = new byte[8];
        final byte[] length = new byte[10];
        byte[] allhead = new byte[58];
        int read = read(allhead);
        if (read != 58){
            return null;
        }
        System.arraycopy(allhead, 0, name, 0, 16);
        System.arraycopy(allhead, 16, lastmodified, 0, 12);
        System.arraycopy(allhead, 28, userid, 0, 6);
        System.arraycopy(allhead, 34, groupid, 0, 6);
        System.arraycopy(allhead, 40, filemode, 0, 8);
        System.arraycopy(allhead, 48, length, 0, 10);
        {
            final byte[] expected = ArArchiveEntry.TRAILER.getBytes();
            final byte[] realized = new byte[expected.length]; 
            read = read(realized);
            if (read != expected.length) {
                throw new IOException("failed to read entry header");
            }
            for (int i = 0; i &lt; expected.length; i++) {
                if (expected[i] != realized[i]) {
                    throw new IOException("invalid entry header. not read the content?");
                }
            }
        }
        entryOffset = offset;
        currentEntry = new ArArchiveEntry(new String(name).trim(),
                                          Long.parseLong(new String(length)
                                                         .trim()));
        return currentEntry;
    }
    public ArchiveEntry getNextEntry() throws IOException {
        return getNextArEntry();
    }
    public void close() throws IOException {
        if (!closed) {
            closed = true;
            input.close();
        }
    }
    public int read() throws IOException {
        if (currentEntry != null) {
            final long entryEnd = entryOffset + currentEntry.getLength();
            if (offset &gt;= entryEnd) {
                return -1;
            }
        }
        final int ret = input.read();
        if (ret != -1) {
            offset++;
        }
        return ret;
    }
    public int read(byte[] b) throws IOException {
        return read(b, 0, b.length);
    }
    public int read(byte[] b, final int off, final int len) throws IOException {
        int toRead = len;
        if (currentEntry != null) {
            final long entryEnd = entryOffset + currentEntry.getLength();
            if (offset &gt;= entryEnd) {
                return -1;
            }
            if (offset + len &gt; entryEnd) {
                toRead = (int) (entryEnd - offset);
            }
        }
        final int ret = this.input.read(b, off, toRead);
        if (ret &gt; 0) {
            offset += ret;
        }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</si>
  <si>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</si>
  <si>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This buffer is only used for skipping.
    private static final byte[] SKIP_BUFFER = new byte[SKIP_BUF_SIZE];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final long available = numToSkip;
        while (numToSkip &gt; 0) {
            long skipped = input.skip(numToSkip);
            if (skipped == 0) {
                break;
            }
            numToSkip -= skipped;
        }
        while (numToSkip &gt; 0) {
            int read = readFully(input, SKIP_BUFFER, 0,
                                 (int) Math.min(numToSkip, SKIP_BUF_SIZE));
            if (read &lt; 1) {
                break;
            }
            numToSkip -= read;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</si>
  <si>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</si>
  <si>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if (bitsCachedSize &lt; count) {
            tryToReadFillBuffer(count);
        }
        if (bitsCachedSize &lt; count) {
            return -1;
        }
        final long bitsOut;
        if (byteOrder == ByteOrder.LITTLE_ENDIAN) {
            bitsOut = (bitsCached &amp; MASKS[count]);
            bitsCached &gt;&gt;&gt;= count;
        } else {
            bitsOut = (bitsCached &gt;&gt; (bitsCachedSize - count)) &amp; MASKS[count];
        }
        bitsCachedSize -= count;
        return bitsOut;
    }
    private void tryToReadFillBuffer(final int count) throws IOException {
        while (bitsCachedSize &lt; count) {
            final long nextByte = in.read();
            if (nextByte &lt; 0) {
                break;
            }
            if (byteOrder == ByteOrder.LITTLE_ENDIAN) {
                bitsCached |= (nextByte &lt;&lt; bitsCachedSize);
            } else {
                bitsCached &lt;&lt;= 8;
                bitsCached |= nextByte;
            }
            bitsCachedSize += 8;
        }
    }
}
---FILE_END---</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</si>
  <si>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</si>
  <si>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private static final int SKIP_BUFFER_SIZE = 4096;
    private final byte[] skipBuffer = new byte[SKIP_BUFFER_SIZE];
    @Override
    public long skip(final long n) throws IOException {
        if (n &gt; 0) {
            long stillToSkip = n;
            while (stillToSkip &gt; 0) {
                final int read = read(skipBuffer, 0, (int) Math.min(stillToSkip, SKIP_BUFFER_SIZE));
                if (read &lt; 0) {
                    break;
                }
                stillToSkip -= read;
            }
            return n - stillToSkip;
        }
        return 0;
    }
    /**
     * Returns the calculated checksum.
     * @return the calculated checksum.
     */
    public long getValue() {
        return checksum.getValue();
    }
}
---FILE_END---</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</si>
  <si>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</si>
  <si>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report points out flaws in the line counting logic within `ExtendedBufferedReader`, particularly in the `read(char[] cbuf, int off, int len)` method. The method's logic for handling different line endings (`\r`, `\n`, `\r\n`), especially across buffer boundaries, is complex and incorrect.
The official fix for this issue in the Apache Commons CSV repository involved two main changes:
1.  **Removing the overridden `read(char[] cbuf, int off, int len)` method entirely.** The reasoning was that the method was flawed, and since the main consumer (`CSVParser`) uses single-character reads, removing the block-read override was an acceptable simplification. This causes block reads to fall back to `BufferedReader`'s efficient implementation, but at the cost of not updating the line counter.
2.  **Fixing the single-character `read()` method.** The original implementation was also flawed as it only counted `\n` and did not correctly handle `\r` or `\r\n` line endings.
I will apply the same strategy. The buggy `read(char[] buf, int offset, int length)` method will be removed. The single-character `read()` method will be rewritten with corrected logic to handle all standard line endings (`\n`, `\r`, `\r\n`) accurately by tracking the previously read character. This ensures that `getLineNumber()` provides a correct value when the stream is read character by character, which is the primary use case within the library.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(lastChar == '\r' &amp;&amp; current != '\n')) {
            lineCounter++;
        }
        lastChar = current;
        return current;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 CSV-75: simplified to just call the single-char version
        // so we can centrally control the line-counting.
        int c = read();
        if (c == -1) {
            return -1;
        }
        buf[offset] = (char) c;
        int i = 1;
        for (; i &lt; length; i++) {
            c = read();
            if (c == -1) {
                break;
            }
            buf[offset + i] = (char) c;
        }
        return i;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</si>
  <si>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</si>
  <si>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 @throws IllegalStateException
     *             if no header mapping was provided
     * @throws IllegalArgumentException
     *             if {@code name} is not mapped
     * @see #isSet(String)
     * @see #isConsistent() // TODO Should this be deprecated?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values.length));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</si>
  <si>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</si>
  <si>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 Handle an escape sequence.
     * The current character must be the escape character.
     * On return, the next character is available by calling {@link ExtendedBufferedReader#getLastChar()}
     * on the input stream.
     * 
     * @return the unescaped character
     * @throws IOException if there is a problem reading the stream or the end of stream is detected: 
     * the escape character is not allowed at end of strem
     */
    int readEscape() throws IOException {
        // the escape char has just been read (normally a backslash)
        final int c = in.read();
        if (c == END_OF_STREAM) {
            throw new IOException("EOF whilst processing escape sequence");
        }
        return c;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</si>
  <si>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</si>
  <si>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
            // A check to avoid AIOOBE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if (mapping == null) {
            return new HashMap&lt;String, String&gt;();
        }
        // We have headers, so we can provide a decent estimate of the map size
        return putIn(new HashMap&lt;String, String&gt;((int) (mapping.size() / 0.75f) + 1));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</si>
  <si>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</si>
  <si>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</si>
  <si>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</si>
  <si>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 [Issue#173]: leading zeroes not allowed
        if (len &gt; 1 &amp;&amp; str.charAt(0) == '0') {
            return -1;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</si>
  <si>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</si>
  <si>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if (len &gt; 1) {
            if (str.charAt(0) == '0') {
                return -1;
            }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</si>
  <si>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</si>
  <si>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
     * @since 2.5
     */
    protected void buildPath(StringBuilder sb) {
        if (_parent != null) {
            _parent.buildPath(sb);
        }
        if (_type == TYPE_OBJECT) {
            sb.append('{');
            if (_currentName != null) {
                sb.append('"');
                // !!! TODO: Name chars should be escaped?
                sb.append(_currentName);
                sb.append('"');
            } else {
                sb.append('?');
            }
            sb.append('}');
        } else if (_type == TYPE_ARRAY) {
            sb.append('[');
            sb.append(getCurrentIndex());
            sb.append(']');
        } else {
            // root context
            sb.append("/");
        }
    }
    // // // Overridden standard methods
    /**
     * Overridden to provide developer writeable "JsonPath" representation
     * of the context.
     */
    @Override public String toString() {
        StringBuilder sb = new StringBuilder(64);
        buildPath(sb);
        return sb.toString();
    }
}
---FILE_END---</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</si>
  <si>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</si>
  <si>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127).\n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public JsonGenerator disable(Feature f) {
        super.disable(f);
        if (f == Feature.QUOTE_FIELD_NAMES) {
            _cfgUnqNames = true;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</si>
  <si>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</si>
  <si>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@Override
    public JsonParser skipChildren() throws IOException, JsonParseException
    {
        // 19-May-2016, tatu: As per [core#296], must delegate to current parser.
        //   (and not use default implementation which would try to use 'this'
        //   as parser)
        delegate.skipChildren();
        return this;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</si>
  <si>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</si>
  <si>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 Since 2.4, we allow 'null' for native String values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if (t == JsonToken.VALUE_NULL) {
                value = deser.getNullValue();
            } else {
                value = deser.deserialize(jp, ctxt);
            }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</si>
  <si>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</si>
  <si>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deser.getNullValue(ctxt)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String value;
        if (jp.getCurrentToken() == JsonToken.VALUE_NULL) {
            value = (_elementDeserializer == null) ? null : _elementDeserializer.getNullValue(ctxt);
        } else {
            value = (_elementDeserializer == null) ? _parseString(jp, ctxt)
                    : _elementDeserializer.deserialize(jp, ctxt);
        }
        return new String[] { value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</si>
  <si>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</si>
  <si>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com.fasterxml.jackson.databind.SerializationFeature;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if (value instanceof Enum&lt;?&gt;) {
            Enum&lt;?&gt; en = (Enum&lt;?&gt;) value;
            if (provider.isEnabled(SerializationFeature.WRITE_ENUMS_USING_TO_STRING)) {
                str = en.toString();
            } else {
                str = en.name();
            }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</si>
  <si>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</si>
  <si>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 We should indicate change if and only if a previous value did not exist,
        // or if it was different from a new value.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</si>
  <si>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</si>
  <si>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}\n\n
        @Override
        public void serialize(Short value, JsonGenerator gen, SerializerProvider provider) throws IOException {
            gen.writeNumber(value.shortValue());
        }
    }
    /**
     * This is the special serializer for regular {@link java.lang.Integer}s
     * (and primitive ints).
     *&lt;p&gt;
     * Note: as of 2.6, serializer is generic for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2.6: no longer final, as it's not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java.lang.Number#intValue}.\n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As of 2.6, generic signature changed to `Object` to avoid generation
     * of bridge methods.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2.6: no longer final, as it's not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</si>
  <si>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</si>
  <si>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</si>
  <si>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corresponding fix in the Jackson-databind repository indicates that `AsWrapperTypeDeserializer` incorrectly assumes that the value part of the type-wrapped JSON is always a JSON Object. This causes issues when the value is a scalar, like a string or a number.
The fix involves several changes within the `_deserialize` method of `AsWrapperTypeDeserializer`:
1.  The initial token validation is made more flexible to handle different parsing states, which is a general robustness improvement.
2.  The logic for making the type ID visible (when `_typeIdVisible` is true) is adjusted. It previously only worked if the value was a JSON Object. The fix attempts to handle other value types, though it has dependencies on other parts of the library that were also updated.
3.  The final check for `END_OBJECT` is modified to provide a more informative error message.
While the provided original file is from a version slightly older than the one the fix was committed against (leading to a slight method signature mismatch for `JsonParserSequence.createFlattened`), I will apply the logic of the fix as faithfully as possible to the provided file. The key changes to fix the reported issue are in the token validation and handling.
Here is the rewritten file with the bug fix.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JsonToken t = p.getCurrentToken();
        if (t == JsonToken.START_OBJECT) {
            // should always get field name, but just in case...
            if (p.nextToken() != JsonToken.FIELD_NAME) {
                throw ctxt.wrongTokenException(p, JsonToken.FIELD_NAME,
                        "need JSON String that contains type id (for subtype of "+baseTypeName()+")");
            }
        } else if (t != JsonToken.FIELD_NAME) {
            throw ctxt.wrongTokenException(p, JsonToken.START_OBJECT,
                    "need JSON Object to contain As.WRAPPER_OBJECT type information for class "+baseTypeName());
        }
        final String typeId = p.getText();
        JsonDeserializer&lt;Object&gt; deser = _findDeserializer(ctxt, typeId);
        p.nextToken();
        // Minor complication: we may need to merge type id in?
        if (_typeIdVisible &amp;&amp; t == JsonToken.START_OBJECT) {
            // but what if there's nowhere to add it in? Error? Or skip? For now, skip.
            TokenBuffer tb = new TokenBuffer(null, false);
            tb.writeStartObject(); // recreate START_OBJECT
            tb.writeFieldName(_typePropertyName);
            tb.writeString(typeId);
            // 02-Nov-2015, tatu: Actually, we need to be able to re-parse from a scalar...
            p = JsonParserSequence.createFlattened(tb.asParser(p), p);
            p.nextToken();
        }
        Object value = deser.deserialize(p, ctxt);
        // And then need the closing END_OBJECT
        JsonToken t2 = p.nextToken();
        if (t2 != JsonToken.END_OBJECT) {
            throw ctxt.wrongTokenException(p, JsonToken.END_OBJECT,
                    "expected closing END_OBJECT after type information and deserialized value (got "+t2+")");
        }
        return value;
    }
}
---FILE_END---</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</si>
  <si>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</si>
  <si>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13-Nov-2015, tatu: Not sure if this is right, but it seems that we should
        //   be able to refine a simple type into another simple type.
        //   If so, we'll just construct a new instance.
        // 20-Nov-2015, tatu: Or, perhaps we can do that...
        return new SimpleType(rawType, bindings,
                superClass, superInterfaces, _valueHandler, _typeHandler, _asStatic);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</si>
  <si>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MapperTest::testProviderConfig;com.fasterxml.jackson.databind.RoundtripTest::testMedaItemRoundtrip;com.fasterxml.jackson.databind.TestFormatSchema::testFormatForParsers;com.fasterxml.jackson.databind.TestHandlerInstantiation::testKeyDeserializer;com.fasterxml.jackson.databind.TestJDKSerialization::testEnumHandlers;com.fasterxml.jackson.databind.TestObjectMapperBeanDeserializer::testSimpleBean;com.fasterxml.jackson.databind.TestObjectMapperBeanDeserializer::testUnknownFields;com.fasterxml.jackson.databind.TestObjectMapperBeanDeserializer::testListBean;com.fasterxml.jackson.databind.TestParserUsingMapper::testIncrementalPojoReading;com.fasterxml.jackson.databind.big.TestBiggerData::testRoundTrip;com.fasterxml.jackson.databind.big.TestBiggerData::testReading;com.fasterxml.jackson.databind.contextual.TestContextualDeserialization::testContextualType;com.fasterxml.jackson.databind.contextual.TestContextualDeserialization::testAnnotatedList;com.fasterxml.jackson.databind.contextual.TestContextualDeserialization::testAnnotatedMap;com.fasterxml.jackson.databind.contextual.TestContextualKeyTypes::testSimpleKeySer;com.fasterxml.jackson.databind.contextual.TestContextualKeyTypes::testSimpleKeyDeser;com.fasterxml.jackson.databind.contextual.TestContextualSerialization::testMethodAnnotationInList;com.fasterxml.jackson.databind.contextual.TestContextualSerialization::testMethodAnnotationInMap;com.fasterxml.jackson.databind.convert.TestArrayConversions::testIntArrayToX;com.fasterxml.jackson.databind.convert.TestArrayConversions::testOverflows;com.fasterxml.jackson.databind.convert.TestArrayConversions::testLongArrayToX;com.fasterxml.jackson.databind.convert.TestBeanConversions::testIssue11;com.fasterxml.jackson.databind.convert.TestConvertingDeserializer::testPropertyAnnotationForMaps;com.fasterxml.jackson.databind.convert.TestConvertingDeserializer::testClassAnnotationForLists;com.fasterxml.jackson.databind.convert.TestConvertingDeserializer::testPropertyAnnotationForLists;com.fasterxml.jackson.databind.convert.TestConvertingSerializer::testPropertyAnnotationForMaps;com.fasterxml.jackson.databind.convert.TestMapConversions::testBeanToMap;com.fasterxml.jackson.databind.convert.TestMapConversions::testMapToMap;com.fasterxml.jackson.databind.convert.TestMapConversions::testIssue287;com.fasterxml.jackson.databind.convert.TestMapConversions::testMapToBean;com.fasterxml.jackson.databind.convert.TestStringConversions::testSimple;com.fasterxml.jackson.databind.convert.TestUpdateValue::testListUpdate;com.fasterxml.jackson.databind.convert.TestUpdateValue::testMapUpdate;com.fasterxml.jackson.databind.creators.BuilderSimpleTest::testWithAnySetter822;com.fasterxml.jackson.databind.creators.TestConstructFromMap::testViaConstructor;com.fasterxml.jackson.databind.creators.TestCreators::testMapWithFactory;com.fasterxml.jackson.databind.creators.TestCreators::testMapWithConstructor;com.fasterxml.jackson.databind.creators.TestCreators2::testAbstractFactory;com.fasterxml.jackson.databind.creators.TestCreators2::testJackson431;com.fasterxml.jackson.databind.creators.TestCreators2::testIssue465;com.fasterxml.jackson.databind.creators.TestCreators541::testCreator541;com.fasterxml.jackson.databind.creators.TestValueInstantiator::testPropertyBasedMapInstantiator;com.fasterxml.jackson.databind.creators.TestValueInstantiator::testDelegateListInstantiator;com.fasterxml.jackson.databind.creators.TestValueInstantiator::testCustomDelegateInstantiator;com.fasterxml.jackson.databind.creators.TestValueInstantiator::testCustomListInstantiator;com.fasterxml.jackson.databind.creators.TestValueInstantiator::testDelegateBeanInstantiator;com.fasterxml.jackson.databind.creators.TestValueInstantiator::testCustomMapInstantiator;com.fasterxml.jackson.databind.creators.TestValueInstantiator::testDelegateMapInstantiator;com.fasterxml.jackson.databind.deser.TestAnnotationUsing::testListContentUsing;com.fasterxml.jackson.databind.deser.TestAnnotationUsing::testRootValueWithCustomKey;com.fasterxml.jackson.databind.deser.TestAnnotationUsing::testMapKeyUsing;com.fasterxml.jackson.databind.deser.TestAnnotationUsing::testMapContentUsing;com.fasterxml.jackson.databind.deser.TestAnyProperties::testProblem744;com.fasterxml.jackson.databind.deser.TestAnyProperties::testIgnored;com.fasterxml.jackson.databind.deser.TestAnyProperties::testSimpleMapImitation;com.fasterxml.jackson.databind.deser.TestAnyProperties::testIgnoredPart2;com.fasterxml.jackson.databind.deser.TestArrayDeserialization::testUntypedArray;com.fasterxml.jackson.databind.deser.TestArrayDeserialization::testBeanArray;com.fasterxml.jackson.databind.deser.TestArrayDeserialization::testFromEmptyString;com.fasterxml.jackson.databind.deser.TestArrayDeserialization::testFromEmptyString2;com.fasterxml.jackson.databind.deser.TestArrayDeserialization::testUntypedArrayOfArrays;com.fasterxml.jackson.databind.deser.TestBeanDeserializer::testModifyCollectionDeserializer;com.fasterxml.jackson.databind.deser.TestBeanDeserializer::testModifyMapDeserializer;com.fasterxml.jackson.databind.deser.TestBeanDeserializer::testModifyKeyDeserializer;com.fasterxml.jackson.databind.deser.TestCachingOfDeser::testCustomListCaching1;com.fasterxml.jackson.databind.deser.TestCachingOfDeser::testCustomListCaching2;com.fasterxml.jackson.databind.deser.TestCachingOfDeser::testCustomMapCaching1;com.fasterxml.jackson.databind.deser.TestCachingOfDeser::testCustomMapCaching2;com.fasterxml.jackson.databind.deser.TestCollectionDeserialization::testIterableWithStrings;com.fasterxml.jackson.databind.deser.TestCollectionDeserialization::testExactStringCollection;com.fasterxml.jackson.databind.deser.TestCollectionDeserialization::testImplicitArrays;com.fasterxml.jackson.databind.deser.TestCollectionDeserialization::testFromEmptyString;com.fasterxml.jackson.databind.deser.TestCollectionDeserialization::testArrayIndexForExceptions;com.fasterxml.jackson.databind.deser.TestCollectionDeserialization::testUntypedList;com.fasterxml.jackson.databind.deser.TestCollectionDeserialization::testIterableWithBeans;com.fasterxml.jackson.databind.deser.TestCollectionDeserialization::testArrayBlockingQueue;com.fasterxml.jackson.databind.deser.TestCollectionDeserialization::testHashSet;com.fasterxml.jackson.databind.deser.TestCollectionDeserialization::testWrapExceptions;com.fasterxml.jackson.databind.deser.TestCollectionDeserialization::testSingletonCollections;com.fasterxml.jackson.databind.deser.TestCustomDeserializers::testCustomBeanDeserializer;com.fasterxml.jackson.databind.deser.TestCustomDeserializers::testIssue882;com.fasterxml.jackson.databind.deser.TestCustomFactory::testCustomBeanDeserializer;com.fasterxml.jackson.databind.deser.TestEnumDeserialization::testEnumMaps;com.fasterxml.jackson.databind.deser.TestEnumDeserialization::testEnumsWithJsonValue;com.fasterxml.jackson.databind.deser.TestEnumDeserialization::testEnumWithCreatorMaps;com.fasterxml.jackson.databind.deser.TestEnumDeserialization::testToStringEnumMaps;com.fasterxml.jackson.databind.deser.TestEnumDeserialization::testDeserializerForCreatorWithEnumMaps;com.fasterxml.jackson.databind.deser.TestEnumDeserialization::testAllowUnknownEnumValuesForEnumSets;com.fasterxml.jackson.databind.deser.TestEnumDeserialization::testEnumWithCreatorEnumMaps;com.fasterxml.jackson.databind.deser.TestEnumDeserialization::testEnumWithCreatorEnumSets;com.fasterxml.jackson.databind.deser.TestEnumDeserialization::testAllowUnknownEnumValuesAsMapKeysReadAsNull;com.fasterxml.jackson.databind.deser.TestEnumDeserialization::testDoNotAllowUnknownEnumValuesAsMapKeysWhenReadAsNullDisabled;com.fasterxml.jackson.databind.deser.TestExceptionDeserialization::testWithCreator;com.fasterxml.jackson.databind.deser.TestExceptionHandling::testExceptionWithIncomplete;com.fasterxml.jackson.databind.deser.TestFieldDeserialization::testFailureDueToDups2;com.fasterxml.jackson.databind.deser.TestFieldDeserialization::testFailureDueToDups;com.fasterxml.jackson.databind.deser.TestGenericCollectionDeser::testAnnotatedBooleanList;com.fasterxml.jackson.databind.deser.TestGenericCollectionDeser::testAnnotatedLStringist;com.fasterxml.jackson.databind.deser.TestGenericCollectionDeser::testListSubClass;com.fasterxml.jackson.databind.deser.TestGenericMapDeser::testIntermediateTypes;com.fasterxml.jackson.databind.deser.TestGenericMapDeser::testKeyViaFactory;com.fasterxml.jackson.databind.deser.TestGenericMapDeser::testKeyViaCtor;com.fasterxml.jackson.databind.deser.TestGenericMapDeser::testMapSubClass;com.fasterxml.jackson.databind.deser.TestGenericMapDeser::testMapWrapper;com.fasterxml.jackson.databind.deser.TestGenericMapDeser::testAnnotatedMap;com.fasterxml.jackson.databind.deser.TestIgnoredTypes::testListWithMixins;com.fasterxml.jackson.databind.deser.TestInjectables::testIssueGH471;com.fasterxml.jackson.databind.deser.TestJDKAtomicTypes::testPolymorphicAtomicReference;com.fasterxml.jackson.databind.deser.TestJDKAtomicTypes::testDeserializeWithContentAs;com.fasterxml.jackson.databind.deser.TestJDKAtomicTypes::testAtomicReference;com.fasterxml.jackson.databind.deser.TestJDKAtomicTypes::testWithUnwrapping;com.fasterxml.jackson.databind.deser.TestJDKAtomicTypes::testFilteringOfAtomicReference;com.fasterxml.jackson.databind.deser.TestJDKAtomicTypes::testAbsentExclusion;com.fasterxml.jackson.databind.deser.TestJDKAtomicTypes::testTypeRefinement;com.fasterxml.jackson.databind.deser.TestJacksonTypes::testJsonLocation;com.fasterxml.jackson.databind.deser.TestJacksonTypes::testTokenBufferWithSequence;com.fasterxml.jackson.databind.deser.TestJdkTypes::testUntypedWithJsonArrays;com.fasterxml.jackson.databind.deser.TestMapDeserialization::testMapFromEmptyArray;com.fasterxml.jackson.databind.deser.TestMapDeserialization::testEnumMap;com.fasterxml.jackson.databind.deser.TestMapDeserialization::testNoCtorMap;com.fasterxml.jackson.databind.deser.TestMapDeserialization::testCurrencyKeyMap;com.fasterxml.jackson.databind.deser.TestMapDeserialization::testMapEntrySimpleTypes;com.fasterxml.jackson.databind.deser.TestMapDeserialization::testSpecialMap;com.fasterxml.jackson.databind.deser.TestMapDeserialization::testClassKeyMap;com.fasterxml.jackson.databind.deser.TestMapDeserialization::testKeyWithCreator;com.fasterxml.jackson.databind.deser.TestMapDeserialization::testEnumPolymorphicSerializationTest;com.fasterxml.jackson.databind.deser.TestMapDeserialization::testFromEmptyString;com.fasterxml.jackson.databind.deser.TestMapDeserialization::testExactStringStringMap;com.fasterxml.jackson.databind.deser.TestMapDeserialization::testUUIDKeyMap;com.fasterxml.jackson.databind.deser.TestMapDeserialization::testGenericMap;com.fasterxml.jackson.databind.deser.TestMapDeserialization::testLocaleKeyMap;com.fasterxml.jackson.databind.deser.TestMapDeserialization::testCalendarMap;com.fasterxml.jackson.databind.deser.TestMapDeserialization::testUntypedMap2;com.fasterxml.jackson.databind.deser.TestMapDeserialization::testUntypedMap3;com.fasterxml.jackson.databind.deser.TestMapDeserialization::testUntypedMap;com.fasterxml.jackson.databind.deser.TestMapDeserialization::testMapEntryFail;com.fasterxml.jackson.databind.deser.TestMapDeserialization::testMapError;com.fasterxml.jackson.databind.deser.TestMapDeserialization::testDateMap;com.fasterxml.jackson.databind.deser.TestMapDeserialization::testIntBooleanMap;com.fasterxml.jackson.databind.deser.TestMapDeserialization::testSingletonMapRoundtrip;com.fasterxml.jackson.databind.deser.TestMapDeserialization::testMapEntryWithStringBean;com.fasterxml.jackson.databind.deser.TestMapDeserialization::testGenericStringIntMap;com.fasterxml.jackson.databind.deser.TestMapDeserialization::testBigUntypedMap;com.fasterxml.jackson.databind.deser.TestMapDeserialization::testMapWithEnums;com.fasterxml.jackson.databind.deser.TestMapDeserialization::testExactStringIntMap;com.fasterxml.jackson.databind.deser.TestNullHandling::testListOfNulls;com.fasterxml.jackson.databind.deser.TestNullHandling::testMapOfNulls;com.fasterxml.jackson.databind.deser.TestObjectOrArrayDeserialization::testNotEmptyArrayCase;com.fasterxml.jackson.databind.deser.TestObjectOrArrayDeserialization::testEmptyArrayCase;com.fasterxml.jackson.databind.deser.TestObjectOrArrayDeserialization::testObjectCase;com.fasterxml.jackson.databind.deser.TestOverloaded::testSpecialization;com.fasterxml.jackson.databind.deser.TestPolymorphicDeserialization676::testDeSerCorrect;com.fasterxml.jackson.databind.deser.TestPolymorphicDeserialization676::testDeSerFail;com.fasterxml.jackson.databind.deser.TestSetterlessProperties::testSimpleSetterlessCollectionOk;com.fasterxml.jackson.databind.deser.TestSetterlessProperties::testSetterlessPrecedence;com.fasterxml.jackson.databind.deser.TestSetterlessProperties::testSimpleSetterlessMapOk;com.fasterxml.jackson.databind.deser.TestSimpleTypes::testNull;com.fasterxml.jackson.databind.deser.TestUntypedDeserialization::testNestedUntyped989;com.fasterxml.jackson.databind.deser.TestUntypedDeserialization::testUntypedWithListDeser;com.fasterxml.jackson.databind.deser.TestUntypedDeserialization::testUntypedWithCustomScalarDesers;com.fasterxml.jackson.databind.deser.TestUntypedDeserialization::testNestedUntypes;com.fasterxml.jackson.databind.deser.TestUntypedDeserialization::testObjectSerializeWithLong;com.fasterxml.jackson.databind.deser.TestUntypedDeserialization::testSampleDoc;com.fasterxml.jackson.databind.deser.TestUntypedDeserialization::testUntypedWithMapDeser;com.fasterxml.jackson.databind.deser.TestValueAnnotations::testOverrideClassValid;com.fasterxml.jackson.databind.deser.TestValueAnnotations::testOverrideMapContents;com.fasterxml.jackson.databind.deser.TestValueAnnotations::testOverrideMapValid;com.fasterxml.jackson.databind.deser.TestValueAnnotations::testRootMapAs;com.fasterxml.jackson.databind.deser.TestValueAnnotations::testOverrideContentClassValid;com.fasterxml.jackson.databind.deser.TestValueAnnotations::testOverrideKeyClassValid;com.fasterxml.jackson.databind.deser.TestValueAnnotations::testRootListAs;com.fasterxml.jackson.databind.deser.UntypedNumbersTest::testForceIntsToLongs;com.fasterxml.jackson.databind.deser.UntypedNumbersTest::testFpTypeOverrideStructured;com.fasterxml.jackson.databind.deser.UntypedNumbersTest::testFpTypeOverrideSimple;com.fasterxml.jackson.databind.deser.UntypedNumbersTest::testIntTypeOverride;com.fasterxml.jackson.databind.ext.TestJdk16Types::test16Types;com.fasterxml.jackson.databind.filter.IgnorePropsTest::testExplicitIgnoralWithBean;com.fasterxml.jackson.databind.filter.IgnorePropsTest::testExplicitIgnoralWithMap;com.fasterxml.jackson.databind.filter.IgnorePropsTest::testIgnoreWithMapProperty;com.fasterxml.jackson.databind.filter.JsonIncludeTest::testNonDefaultByClass;com.fasterxml.jackson.databind.filter.JsonIncludeTest::testMixedMethod;com.fasterxml.jackson.databind.filter.JsonIncludeTest::testGlobal;com.fasterxml.jackson.databind.filter.JsonIncludeTest::testNonNullByClass;com.fasterxml.jackson.databind.filter.MapInclusionTest::testNonNullValueMapViaProp;com.fasterxml.jackson.databind.filter.TestMapFiltering::testMapFilteringViaClass;com.fasterxml.jackson.databind.filter.TestMapFiltering::testMapFilteringViaProps;com.fasterxml.jackson.databind.filter.TestMapFiltering::testMapFilteringWithAnnotations;com.fasterxml.jackson.databind.filter.TestMapFiltering::testMapNonNullValue;com.fasterxml.jackson.databind.filter.TestMapFiltering::testNonNullValueMapViaProp;com.fasterxml.jackson.databind.filter.TestMapFiltering::testMapWithOnlyEmptyValues;com.fasterxml.jackson.databind.filter.TestMapFiltering::testMapNonEmptyValue;com.fasterxml.jackson.databind.filter.TestMapFiltering::testMapAbsentValue;com.fasterxml.jackson.databind.filter.TestMapFiltering::testMapNullSerialization;com.fasterxml.jackson.databind.filter.TestSimpleSerializationIgnore::testSimpleIgnore;com.fasterxml.jackson.databind.filter.TestSimpleSerializationIgnore::testDisabledIgnore;com.fasterxml.jackson.databind.filter.TestSimpleSerializationIgnore::testIgnoreOver;com.fasterxml.jackson.databind.filter.TestUnknownPropertyDeserialization::testClassIgnoreWithMap;com.fasterxml.jackson.databind.filter.TestUnknownPropertyDeserialization::testPropertyIgnoralForMap;com.fasterxml.jackson.databind.filter.TestUnknownPropertyDeserialization::testIssue987;com.fasterxml.jackson.databind.introspect.NoClassDefFoundWorkaroundTest::testDeserialize;com.fasterxml.jackson.databind.introspect.TestAnnotationMerging::testSharedTypeInfoWithCtor;com.fasterxml.jackson.databind.introspect.TestAnnotationMerging::testSharedTypeInfo;com.fasterxml.jackson.databind.introspect.TestJacksonAnnotationIntrospector::testSerializeDeserializeWithJaxbAnnotations;com.fasterxml.jackson.databind.introspect.TestNamingStrategyCustom::testWithGetterAsSetter;com.fasterxml.jackson.databind.introspect.TestNamingStrategyCustom::testLowerCase;com.fasterxml.jackson.databind.jsonschema.NewSchemaTest::testBasicTraversal;com.fasterxml.jackson.databind.jsonschema.TestGenerateJsonSchema::testSchemaSerialization;com.fasterxml.jackson.databind.jsonschema.TestReadJsonSchema::testDeserializeSimple;com.fasterxml.jackson.databind.jsontype.TestAbstractContainers::testAbstractLists;com.fasterxml.jackson.databind.jsontype.TestAbstractContainers::testAbstractMaps;com.fasterxml.jackson.databind.jsontype.TestAbstractTypeNames::testEmptyCollection;com.fasterxml.jackson.databind.jsontype.TestDefaultForArrays::testArrayTypingNested;com.fasterxml.jackson.databind.jsontype.TestDefaultForArrays::testArrayTypingSimple;com.fasterxml.jackson.databind.jsontype.TestDefaultForArrays::testArraysOfArrays;com.fasterxml.jackson.databind.jsontype.TestDefaultForArrays::testNodeInArray;com.fasterxml.jackson.databind.jsontype.TestDefaultForEnums::testSimpleEnumsInObjectArray;com.fasterxml.jackson.databind.jsontype.TestDefaultForEnums::testSimpleEnumsAsField;com.fasterxml.jackson.databind.jsontype.TestDefaultForLists::testListOfLongs;com.fasterxml.jackson.databind.jsontype.TestDefaultForLists::testListOfNumbers;com.fasterxml.jackson.databind.jsontype.TestDefaultForLists::testDateTypes;com.fasterxml.jackson.databind.jsontype.TestDefaultForLists::testJackson628;com.fasterxml.jackson.databind.jsontype.TestDefaultForLists::testJackson667;com.fasterxml.jackson.databind.jsontype.TestDefaultForMaps::testMap;com.fasterxml.jackson.databind.jsontype.TestDefaultForMaps::testList;com.fasterxml.jackson.databind.jsontype.TestDefaultForMaps::testJackson428;com.fasterxml.jackson.databind.jsontype.TestDefaultForObject::testEnumMap;com.fasterxml.jackson.databind.jsontype.TestDefaultForObject::testEnumSet;com.fasterxml.jackson.databind.jsontype.TestDefaultForObject::testEnumAsObject;com.fasterxml.jackson.databind.jsontype.TestDefaultForObject::testBeanAsObject;com.fasterxml.jackson.databind.jsontype.TestDefaultForObject::testBeanAsObjectUsingAsProperty;com.fasterxml.jackson.databind.jsontype.TestDefaultForObject::testJackson311;com.fasterxml.jackson.databind.jsontype.TestDefaultForObject::testIssue352;com.fasterxml.jackson.databind.jsontype.TestDefaultForObject::testTokenBuffer;com.fasterxml.jackson.databind.jsontype.TestDefaultForScalars::testDateScalars;com.fasterxml.jackson.databind.jsontype.TestDefaultForScalars::testScalarArrays;com.fasterxml.jackson.databind.jsontype.TestEnumTyping::testTagList;com.fasterxml.jackson.databind.jsontype.TestEnumTyping::testEnumInterfaceList;com.fasterxml.jackson.databind.jsontype.TestEnumTyping::testUntypedEnum;com.fasterxml.jackson.databind.jsontype.TestExternalId::testInverseExternalId928;com.fasterxml.jackson.databind.jsontype.TestExternalId::testWithNaturalScalar118;com.fasterxml.jackson.databind.jsontype.TestExternalId::testExternalTypeWithCreator;com.fasterxml.jackson.databind.jsontype.TestExternalId::testBigDecimal965;com.fasterxml.jackson.databind.jsontype.TestExternalId::testWithAsValue;com.fasterxml.jackson.databind.jsontype.TestExternalId::testExternalTypeIdWithNull;com.fasterxml.jackson.databind.jsontype.TestExternalId::testWithScalar118;com.fasterxml.jackson.databind.jsontype.TestExternalId::testSimpleDeserialization;com.fasterxml.jackson.databind.jsontype.TestExternalId::testMultipleTypeIdsDeserialization;com.fasterxml.jackson.databind.jsontype.TestGenericListSerialization::testSubTypesFor356;com.fasterxml.jackson.databind.jsontype.TestPolymorphicWithDefaultImpl::testDeserializationWithArrayOfSize2;com.fasterxml.jackson.databind.jsontype.TestPolymorphicWithDefaultImpl::testInvalidTypeId511;com.fasterxml.jackson.databind.jsontype.TestPolymorphicWithDefaultImpl::testDeserializationWithObject;com.fasterxml.jackson.databind.jsontype.TestPolymorphicWithDefaultImpl::testDeserializationWithString;com.fasterxml.jackson.databind.jsontype.TestPolymorphicWithDefaultImpl::testDeserializationWithArray;com.fasterxml.jackson.databind.jsontype.TestPropertyTypeInfo::testSimpleField;com.fasterxml.jackson.databind.jsontype.TestPropertyTypeInfo::testSimpleArrayField;com.fasterxml.jackson.databind.jsontype.TestPropertyTypeInfo::testSimpleMapMethod;com.fasterxml.jackson.databind.jsontype.TestPropertyTypeInfo::testSimpleMethod;com.fasterxml.jackson.databind.jsontype.TestPropertyTypeInfo::testSimpleListMethod;com.fasterxml.jackson.databind.jsontype.TestPropertyTypeInfo::testSimpleMapField;com.fasterxml.jackson.databind.jsontype.TestPropertyTypeInfo::testSimpleListField;com.fasterxml.jackson.databind.jsontype.TestPropertyTypeInfo::testSimpleArrayMethod;com.fasterxml.jackson.databind.jsontype.TestScalars::testScalarsWithTyping;com.fasterxml.jackson.databind.jsontype.TestSubtypesExistingProperty::testExistingPropertySerializationCars;com.fasterxml.jackson.databind.jsontype.TestSubtypesExistingProperty::testSimpleClassAsExistingPropertyDeserializationCars;com.fasterxml.jackson.databind.jsontype.TestSubtypesExistingProperty::testExistingPropertySerializationAnimals;com.fasterxml.jackson.databind.jsontype.TestSubtypesExistingProperty::testSimpleClassAsExistingPropertyDeserializationFruits;com.fasterxml.jackson.databind.jsontype.TestSubtypesExistingProperty::testExistingPropertySerializationFruits;com.fasterxml.jackson.databind.jsontype.TestSubtypesExistingProperty::testSimpleClassAsExistingPropertyDeserializationAnimals;com.fasterxml.jackson.databind.jsontype.TestTypeNames::testRoundTrip;com.fasterxml.jackson.databind.jsontype.TestTypeNames::testRoundTripMap;com.fasterxml.jackson.databind.jsontype.TestTypedArrayDeserialization::testBooleanListAsProp;com.fasterxml.jackson.databind.jsontype.TestTypedArrayDeserialization::testIntList;com.fasterxml.jackson.databind.jsontype.TestTypedArrayDeserialization::testLongListAsWrapper;com.fasterxml.jackson.databind.jsontype.TestTypedArraySerialization::testStringListAsProp;com.fasterxml.jackson.databind.jsontype.TestTypedArraySerialization::testStringListAsObjectWrapper;com.fasterxml.jackson.databind.jsontype.TestTypedArraySerialization::testIntList;com.fasterxml.jackson.databind.jsontype.TestTypedContainerSerialization::testIssue508;com.fasterxml.jackson.databind.jsontype.TestTypedDeserialization::testTypeAsWrapper;com.fasterxml.jackson.databind.jsontype.TestTypedDeserialization::testListAsArray;com.fasterxml.jackson.databind.jsontype.TestTypedDeserialization::testCagedAnimal;com.fasterxml.jackson.databind.jsontype.TestTypedDeserialization::testTypeAsArray;com.fasterxml.jackson.databind.jsontype.TestTypedDeserialization::testSimpleClassAsProperty;com.fasterxml.jackson.databind.jsontype.TestTypedSerialization::testTypeAsWrapper;com.fasterxml.jackson.databind.jsontype.TestTypedSerialization::testTypeAsArray;com.fasterxml.jackson.databind.jsontype.TestTypedSerialization::testSimpleClassAsProperty;com.fasterxml.jackson.databind.jsontype.TestTypedSerialization::testInArray;com.fasterxml.jackson.databind.jsontype.TestWithGenerics::testJackson387;com.fasterxml.jackson.databind.jsontype.TestWithGenerics::testJackson430;com.fasterxml.jackson.databind.jsontype.WrapperObjectWithObjectIdTest::testSimple;com.fasterxml.jackson.databind.mixins.TestMixinDeserForMethods::testWithAnySetter;com.fasterxml.jackson.databind.mixins.TestMixinInheritance::testMixinMethodInheritance;com.fasterxml.jackson.databind.mixins.TestMixinInheritance::testMixinFieldInheritance;com.fasterxml.jackson.databind.mixins.TestMixinSerForClass::testClassMixInsTopLevel;com.fasterxml.jackson.databind.mixins.TestMixinSerForClass::testClassMixInsMidLevel;com.fasterxml.jackson.databind.mixins.TestMixinSerForFields::testMultipleFieldMixIns;com.fasterxml.jackson.databind.mixins.TestMixinSerForFields::testFieldMixInsTopLevel;com.fasterxml.jackson.databind.mixins.TestMixinSerForMethods::testObjectMixin;com.fasterxml.jackson.databind.mixins.TestMixinSerForMethods::testIntermediateMixin2;com.fasterxml.jackson.databind.mixins.TestMixinSerForMethods::testIntermediateMixin;com.fasterxml.jackson.databind.mixins.TestMixinSerForMethods::testCustomResolver;com.fasterxml.jackson.databind.mixins.TestMixinSerForMethods::testLeafMixin;com.fasterxml.jackson.databind.module.TestAbstractTypes::testDefaultingRecursive;com.fasterxml.jackson.databind.module.TestAbstractTypes::testCollectionDefaulting;com.fasterxml.jackson.databind.module.TestCustomEnumKeyDeserializer::testWithEnumKeys;com.fasterxml.jackson.databind.module.TestKeyDeserializers::testKeyDeserializers;com.fasterxml.jackson.databind.module.TestSimpleModule::testMixIns;com.fasterxml.jackson.databind.module.TestTypeModifiers::testCollectionLikeDeserialization;com.fasterxml.jackson.databind.module.TestTypeModifiers::testMapLikeSerialization;com.fasterxml.jackson.databind.module.TestTypeModifiers::testMapLikeDeserialization;com.fasterxml.jackson.databind.module.TestTypeModifiers::testMapLikeTypeConstruction;com.fasterxml.jackson.databind.module.TestTypeModifiers::testCollectionLikeTypeConstruction;com.fasterxml.jackson.databind.module.TestTypeModifiers::testCollectionLikeSerialization;com.fasterxml.jackson.databind.node.TestConversions::testBigDecimalAsPlainStringTreeConversion;com.fasterxml.jackson.databind.node.TestTreeTraversingParser::testDataBind;com.fasterxml.jackson.databind.objectid.JSOGDeserialize622Test::testPolymorphicRoundTrip;com.fasterxml.jackson.databind.objectid.Objecid1083Test::testSimple;com.fasterxml.jackson.databind.objectid.ObjectId825BTest::testFull825;com.fasterxml.jackson.databind.objectid.ReferentialWithObjectIdTest::testAtomicWithObjectId;com.fasterxml.jackson.databind.objectid.TestAbstractWithObjectId::testIssue877;com.fasterxml.jackson.databind.objectid.TestObjectId::testMixedRefsIssue188;com.fasterxml.jackson.databind.objectid.TestObjectIdDeserialization::testKeepMapOrdering;com.fasterxml.jackson.databind.objectid.TestObjectIdDeserialization::testForwardReferenceInMap;com.fasterxml.jackson.databind.objectid.TestObjectIdDeserialization::testKeepCollectionOrdering;com.fasterxml.jackson.databind.objectid.TestObjectIdDeserialization::testForwardReference;com.fasterxml.jackson.databind.objectid.TestObjectIdDeserialization::testUnresolvedForwardReference;com.fasterxml.jackson.databind.objectid.TestObjectIdDeserialization::testForwardReferenceInCollection;com.fasterxml.jackson.databind.objectid.TestObjectIdDeserialization::testCustomPoolResolver;com.fasterxml.jackson.databind.objectid.TestObjectIdWithEquals::testSimpleEquals;com.fasterxml.jackson.databind.objectid.TestObjectIdWithPolymorphic::testIssue811;com.fasterxml.jackson.databind.seq.ObjectReaderTest::testPointerLoadingMappingIteratorMany;com.fasterxml.jackson.databind.seq.ObjectReaderTest::testNoPointerLoading;com.fasterxml.jackson.databind.seq.ObjectReaderTest::testPointerLoadingAsJsonNode;com.fasterxml.jackson.databind.seq.ObjectReaderTest::testPointerLoading;com.fasterxml.jackson.databind.seq.ObjectReaderTest::testPointerLoadingMappingIteratorOne;com.fasterxml.jackson.databind.seq.ObjectWriterTest::testObjectWriterFeatures;com.fasterxml.jackson.databind.seq.ObjectWriterTest::testPrettyPrinter;com.fasterxml.jackson.databind.seq.ReadValuesTest::testNonRootMapsWithObjectReader;com.fasterxml.jackson.databind.seq.ReadValuesTest::testRootMaps;com.fasterxml.jackson.databind.seq.ReadValuesTest::testNonRootMapsWithParser;com.fasterxml.jackson.databind.ser.DateSerializationTest::testDatesAsMapKeys;com.fasterxml.jackson.databind.ser.FieldSerializationTest::testSimpleAnnotation;com.fasterxml.jackson.databind.ser.FieldSerializationTest::testSimpleAutoDetect;com.fasterxml.jackson.databind.ser.FieldSerializationTest::testOkDupFields;com.fasterxml.jackson.databind.ser.FieldSerializationTest::testTransientAndStatic;com.fasterxml.jackson.databind.ser.FieldSerializationTest::testFailureDueToDupField;com.fasterxml.jackson.databind.ser.FieldSerializationTest::testNoAutoDetect;com.fasterxml.jackson.databind.ser.RawValueTest::testRawFromMapToTree;com.fasterxml.jackson.databind.ser.TestAnnotationInheritance::testSimpleGetterInterfaceImpl;com.fasterxml.jackson.databind.ser.TestAnnotationInheritance::testSimpleGetterInheritance;com.fasterxml.jackson.databind.ser.TestAnnotations::testSimpleGetter;com.fasterxml.jackson.databind.ser.TestAnnotations::testSimpleGetter2;com.fasterxml.jackson.databind.ser.TestAnnotations::testSimpleGetter3;com.fasterxml.jackson.databind.ser.TestAnnotations::testGetterInheritance;com.fasterxml.jackson.databind.ser.TestAnyGetter::testSimpleJsonValue;com.fasterxml.jackson.databind.ser.TestAutoDetect::testMapperShortcutMethods;com.fasterxml.jackson.databind.ser.TestAutoDetect::testBasicSetup;com.fasterxml.jackson.databind.ser.TestAutoDetect::testPrivateUsingGlobals;com.fasterxml.jackson.databind.ser.TestAutoDetect::testProtectedViaAnnotations;com.fasterxml.jackson.databind.ser.TestBeanSerializer::testModifyKeySerializer;com.fasterxml.jackson.databind.ser.TestBeanSerializer::testModifyMapSerializer;com.fasterxml.jackson.databind.ser.TestBeanSerializer::testModifyCollectionSerializer;com.fasterxml.jackson.databind.ser.TestCollectionSerialization::testEnumMap;com.fasterxml.jackson.databind.ser.TestCollectionSerialization::testEmptyBeanCollection;com.fasterxml.jackson.databind.ser.TestCollectionSerialization::testEmptyListOrArray;com.fasterxml.jackson.databind.ser.TestCollectionSerialization::testBigCollection;com.fasterxml.jackson.databind.ser.TestCollectionSerialization::testEmptyBeanEnumMap;com.fasterxml.jackson.databind.ser.TestCollectionSerialization::testNullBeanEnumMap;com.fasterxml.jackson.databind.ser.TestCollectionSerialization::testCollections;com.fasterxml.jackson.databind.ser.TestCollectionSerialization::testNullBeanCollection;com.fasterxml.jackson.databind.ser.TestConfig::testProviderConfig;com.fasterxml.jackson.databind.ser.TestConfig::testAnnotationsDisabled;com.fasterxml.jackson.databind.ser.TestConfig::testIndentation;com.fasterxml.jackson.databind.ser.TestCyclicTypes::testLinked;com.fasterxml.jackson.databind.ser.TestEnumSerialization::testEnumSet;com.fasterxml.jackson.databind.ser.TestEnumSerialization::testEnumMapSerDisableToString;com.fasterxml.jackson.databind.ser.TestEnumSerialization::testEnumMapSerDefault;com.fasterxml.jackson.databind.ser.TestEnumSerialization::testJsonValueForEnumMapKey;com.fasterxml.jackson.databind.ser.TestEnumSerialization::testEnumsWithJsonValueInMap;com.fasterxml.jackson.databind.ser.TestEnumSerialization::testMapWithEnumKeys;com.fasterxml.jackson.databind.ser.TestEnumSerialization::testEnumMapSerEnableToString;com.fasterxml.jackson.databind.ser.TestEnumSerialization::testToStringEnumWithEnumMap;com.fasterxml.jackson.databind.ser.TestExceptionHandling::testCatchAndRethrow;com.fasterxml.jackson.databind.ser.TestExceptionSerialization::testSimple;com.fasterxml.jackson.databind.ser.TestFeatures::testPerClassAutoDetection;com.fasterxml.jackson.databind.ser.TestFeatures::testPerClassAutoDetectionForIsGetter;com.fasterxml.jackson.databind.ser.TestFeatures::testGlobalAutoDetection;com.fasterxml.jackson.databind.ser.TestFeatures::testSingleElementCollections;com.fasterxml.jackson.databind.ser.TestGenericTypes::testRootTypeForCollections727;com.fasterxml.jackson.databind.ser.TestGenericTypes::testIssue468a;com.fasterxml.jackson.databind.ser.TestGenericTypes::testIssue468b;com.fasterxml.jackson.databind.ser.TestIterable::testWithIterable;com.fasterxml.jackson.databind.ser.TestJacksonTypes::testLocation;com.fasterxml.jackson.databind.ser.TestJdkTypes::testBigDecimal;com.fasterxml.jackson.databind.ser.TestJdkTypes::testRegexps;com.fasterxml.jackson.databind.ser.TestJdkTypes::testBigDecimalAsPlainString;com.fasterxml.jackson.databind.ser.TestJsonSerialize::testMixedTypingForClass;com.fasterxml.jackson.databind.ser.TestJsonSerialize::testStaticTypingWithArrayList;com.fasterxml.jackson.databind.ser.TestJsonSerialize::testStaticTypingWithLinkedList;com.fasterxml.jackson.databind.ser.TestJsonSerialize::testSimpleValueDefiniti</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</si>
  <si>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</si>
  <si>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15-Feb-2016, tatu: As per #1108, we may be pointed to FIELD_NAME, and need
        //   to advance to value.
        if (p.getCurrentToken() == JsonToken.FIELD_NAME) {
            p.nextToken();
        }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</si>
  <si>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</si>
  <si>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 15-Jun-2016, tatu: As per [databind#1150], we need to both handle
        //   polymorphic type and properly bind id, so...
        Object id = _valueDeserializer.deserializeWithType(p, ctxt, _valueTypeDeserializer);
        ReadableObjectId roid = ctxt.findObjectId(id, _objectIdReader.generator, _objectIdReader.resolver);
        roid.bindItem(instance);
        SettableBeanProperty idProp = _objectIdReader.idProperty;
        if (idProp != null) {
            idProp.set(instance, id);
        }
    }
    @Override
    public Object deserializeSetAndReturn(JsonParser p,
    		DeserializationContext ctxt, Object instance) throws IOException
    {
        // 15-Jun-2016, tatu: As per [databind#1150], we may need to use type deserializer,
        Object id = _valueDeserializer.deserializeWithType(p, ctxt, _valueTypeDeserializer);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 15-Jun-2016, tatu: Except that `null` may be legit value for some Object Ids...
        //    so we do need to check.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</si>
  <si>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</si>
  <si>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
     * @since 2.7
     */
    @SuppressWarnings("unchecked")
    public DateTimeSerializerBase&lt;T&gt; withFormat(Boolean timestamp, DateFormat customFormat, Locale locale) {
        // By default, locale does not matter
        return withFormat(timestamp, customFormat);
    }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loc);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</si>
  <si>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</si>
  <si>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
     * @deprecated Since 2.7
     */
    @Deprecated
    public static ReferenceType construct(Class&lt;?&gt; cls, JavaType refType,
            Object valueHandler, Object typeHandler)
    {
        return new ReferenceType(cls, refType, valueHandler, typeHandler, false);
    }
    public static ReferenceType construct(Class&lt;?&gt; cls, JavaType refType)
    {
        // 13-Jun-2016, tatu: As per [databind#1194], this method should be producing
        //    "fully typed" instances.
        return new ReferenceType(cls, refType, null, null, true);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</si>
  <si>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</si>
  <si>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</si>
  <si>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</si>
  <si>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 [databind#1322]: Make specialized serializer for enum keys
                @SuppressWarnings({ "rawtypes", "unchecked" })
                Class&lt;Enum&lt;?&gt;&gt; enumType = (Class&lt;Enum&lt;?&gt;&gt;) rawKeyType;
                // 12-Jun-2016, tatu: Note: can not use `EnumValues.construct()` as that would
                //   not detect per-enum-type overrides.
                return new EnumKeySerializer(rawKeyType, EnumValues.construct(config, enumType));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TYPE_TO_STRING = 4;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TYPE_TO_STRING:
            default:
                g.writeFieldName(value.toString());
            }
        }
    }
    /**
     * Specialized instance to use for Enum keys, as per [databind#1322]
     *
     * @since 2.8
     */
    public static class EnumKeySerializer extends StdSerializer&lt;Object&gt;
    {
        protected final EnumValues _values;
        protected EnumKeySerializer(Class&lt;?&gt; enumType, EnumValues v) {
            super(enumType, false);
            _values = v;
        }
        public static EnumKeySerializer construct(Class&lt;?&gt; enumType, EnumValues enumValues) {
            return new EnumKeySerializer(enumType, enumValues);
        }
        @Override
        public void serialize(Object value, JsonGenerator g, SerializerProvider provider) throws IOException
        {
            Enum&lt;?&gt; en = (Enum&lt;?&gt;) value;
            g.writeFieldName(_values.serializedValueFor(en));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---FILE_END---</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</si>
  <si>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</si>
  <si>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p, DeserializationContext ctxt, Object bean)
        throws IOException
    {
        // 03-Feb-2017, tatu: We have to be careful here. If we have VALUE_NULL,
        //    we may want to either skip, or create a null value. Note that we
        //    are not using "updateValue()" here, but rather creating a new instance
        //    for the whole property... so we can't really just leave it.
        //    But! We can see if the JsonParser has `null` token and handle that.
        Object value;
        if (p.getCurrentToken() == JsonToken.VALUE_NULL) {
            value = _valueDeserializer.getNullValue(ctxt);
        } else if (_valueTypeDeserializer != null) {
            value = _valueDeserializer.deserializeWithType(p, ctxt, _valueTypeDeserializer);
        } else { // the usual case
            try {
                value = _creator.newInstance(bean);
            } catch (Exception e) {
                ClassUtil.unwrapAndThrowAsIAE(e, "Failed to instantiate class "+_creator.getDeclaringClass().getName()+", problem: "+e.getMessage());
                value = null; // should not occur
            }
            _valueDeserializer.deserialize(p, ctxt, value);
        }
        set(bean, value);
    }
    @Override
    public Object deserializeSetAndReturn(JsonParser p,
    		DeserializationContext ctxt, Object instance)
        throws IOException
    {
        // 03-Feb-2017, tatu: See above for problems; can't delegate to `deserialize()` as
        //    it can't handle inner class instantiation correctly. So, inline mostly
        Object value;
        if (p.getCurrentToken() == JsonToken.VALUE_NULL) {
            value = _valueDeserializer.getNullValue(ctxt);
        } else if (_valueTypeDeserializer != null) {
            value = _valueDeserializer.deserializeWithType(p, ctxt, _valueTypeDeserializer);
        } else {
            try {
                value = _creator.newInstance(instance);
            } catch (Exception e) {
                ClassUtil.unwrapAndThrowAsIAE(e, "Failed to instantiate class "+_creator.getDeclaringClass().getName()+", problem: "+e.getMessage());
                value = null; // should not occur
            }
            _valueDeserializer.deserialize(p, ctxt, value);
        }
        return setAndReturn(instance, value);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</si>
  <si>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</si>
  <si>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try {
            deser = _findDeserializer(ctxt, typeId);
        } catch (Exception e) {
            // 21-Feb-2017, tatu: As per [databind#1533], may need to fall back to default
            //    implementation
            return _deserializeTypedUsingDefaultImpl(p, ctxt, tb, "problem processing "+_typePropertyName+" ('"+typeId+"')");
        }
        if (_typeIdVisible) { // need to merge id back in JSON input?
            if (tb == null) {
                tb = new TokenBuffer(p, ctxt);
            }
            tb.writeFieldName(p.getCurrentName());
            tb.writeString(typeId);
        }
        if (tb != null) { // need to put back skipped properties?
            p = JsonParserSequence.createFlattened(false, tb.asParser(p), p);
        }
        p.nextToken(); // to skip past String value
        return deser.deserialize(p, ctxt);
    }
    // off-lined to keep main method lean and mean...
    @SuppressWarnings("resource")
    protected Object _deserializeTypedUsingDefaultImpl(JsonParser p, DeserializationContext ctxt,
            TokenBuffer tb) throws IOException
    {
        return _deserializeTypedUsingDefaultImpl(p, ctxt, tb, null);
    }
    protected Object _deserializeTypedUsingDefaultImpl(JsonParser p, DeserializationContext ctxt,
            TokenBuffer tb, String priorFailureMsg) throws IOException
    {
        // As per [databind#1533], need to allow use of default impl in case of failure
        // a) only if there is a default impl (and, probably, not abstract base type)
        // b) only if we have seen something that looks like an Object
        if (!hasDefaultImpl()) {
            Object result = TypeDeserializer.deserializeIfNatural(p, ctxt, _baseType);
            if (result != null) {
                return result;
            }
            // or, something for which "as-property" won't work, changed into "wrapper-array" type:
            if (p.getCurrentToken() == JsonToken.START_ARRAY) {
                return super.deserializeTypedFromAny(p, ctxt);
            }
            // and if not, tough luck
            String msg = String.format("missing property \'%s\' that is to contain type id  (for class %s)",
                    _typePropertyName, baseTypeName());
            if (priorFailureMsg != null) {
                msg = String.format("%s; problem: %s", msg, priorFailureMsg);
            }
            ctxt.reportWrongTokenException(p, JsonToken.FIELD_NAME, msg);
            return null;
        }
        JsonDeserializer&lt;Object&gt; deser = _findDefaultImplDeserializer(ctxt);
        if (deser != null) {
            if (tb != null) {
                tb.writeEndObject();
                p = tb.asParser(p);
                // must move to point to the first token:
                p.nextToken();
            }
            return deser.deserialize(p, ctxt);
        }
        // This should not happen, given that we check `hasDefaultImpl()`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</si>
  <si>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</si>
  <si>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[databind#1543]: Allow use of toString() for Enums
        EnumValues v;
        if (config.isEnabled(SerializationFeature.WRITE_ENUMS_USING_TO_STRING)) {
            v = EnumValues.constructFromToString(config, (Class&lt;Enum&lt;?&gt;&gt;) enumClass);
        } else {
            /* 08-Apr-2015, tatu: As per [databind#749], we can not statically determine
             *   between name() and toString(), need to construct `EnumValues` with names,
             *   handle toString() case dynamically (for example)
             */
            v = EnumValues.constructFromName(config, (Class&lt;Enum&lt;?&gt;&gt;) enumClass);
        }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[databind#1543]: or via toString()?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[databind#1543]: simple case, after all.
            for (SerializableString value : _values.values()) {
                enums.add(value.getValue());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</si>
  <si>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</si>
  <si>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 13-Jun-2017, tatu: As per [databind#1647], can not delegate to referencedType,
        //   as that may lead to infinite recursion. So, do a simple check instead.
        //   (note: .equals() is only called when caching types, so this does not affect
        //   any other aspects of functionality)
        return ((ResolvedRecursiveType) o).getSelfReferencedType() == _referencedType;
    }
}
---FILE_END---</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</si>
  <si>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</si>
  <si>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String pattern = format.getPattern();
            final Locale loc = format.hasLocale()
                            ? format.getLocale()
                            : serializers.getLocale();
            SimpleDateFormat df = new SimpleDateFormat(pattern, loc);
            TimeZone tz = format.hasTimeZone()
                            ? format.getTimeZone()
                            : serializers.getTimeZone();
            df.setTimeZone(tz);
            return withFormat(Boolean.FALSE, df);
        }
        // If not, shape may be important
        if (shape == JsonFormat.Shape.STRING) { // almost same as above
            TimeZone tz = format.getTimeZone();
            // 08-Jun-2017, tatu: timezone via `@JsonFormat` should have priority
            //   over format configured for `ObjectMapper`
            //  ... so, if we have one, we MUST create a new `DateFormat` instance
            if (tz != null) {
                DateFormat df = serializers.getConfig().getDateFormat();
                // we have to clone it, to not mess with it globally
                if (df instanceof StdDateFormat) {
                    StdDateFormat std = (StdDateFormat) df;
                    std = std.withTimeZone(tz);
                    // 11-Jun-2017, tatu: to prevent sharing, must re-create if no pattern
                    std = std.withLocale(format.hasLocale() ? format.getLocale() : serializers.getLocale());
                    df = std;
                } else if (df instanceof SimpleDateFormat) {
                    // 08-Jun-2017, tatu: Unfortunately there's no generally usable
                    //    mechanism for changing `DateFormat` instances (or even clone()ing)
                    //    So: require it be `SimpleDateFormat`; can't config other types
                    df = (SimpleDateFormat) df.clone();
                    df.setTimeZone(tz);
                }
                return withFormat(Boolean.FALSE, df);
            }
        }
        // Otherwise, need one of these changes:
        // (well, actually, not yet, but soon)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</si>
  <si>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ResolvedRecursiveType other = (ResolvedRecursiveType) o;
        if (other._referencedType == null) {
            return false;
        }
        return _referencedType.equals(other._referencedType);
    }
}
---FILE_END---</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</si>
  <si>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</si>
  <si>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02-Oct-2017, tatu: And we must also ensure that type is assignable to base type.
            //     Mostly matters for cases where base type is `java.lang.Object`, in which
            //     case any type is legal.
            if (!_baseType.getRawClass().isAssignableFrom(t.getRawClass())) {
                throw new IllegalArgumentException(String.format("Class %s not subtype of %s", t.getRawClass().getName(), _baseType));
            }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</si>
  <si>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</si>
  <si>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 [databind#1872]: more Spring-framework classes
        s.add("org.springframework.aop.target.HotSwappableTargetSource");
        s.add("org.springframework.jndi.JndiObjectFactoryBean");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[databind#1872]: prevent all subtypes of `java.lang.ClassLoader`
            if (ClassLoader.class.isAssignableFrom(raw)) {
                break main_check;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</si>
  <si>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</si>
  <si>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protected final static String PREFIX_C3P0 = "com.mchange.v2.c3p0.";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else if (full.startsWith(PREFIX_C3P0)) {
                // [databind#1931]
                for (Class&lt;?&gt; cls = raw; (cls != null) &amp;&amp; (cls != Object.class); cls = cls.getSuperclass()) {
                    String name = cls.getSimpleName();
                    if ("PoolBackedDataSource".equals(name)) {
                        break main_check;
                    }
                }
            }
            return;
        } while (false);
        throw JsonMappingException.from(ctxt,
                String.format("Illegal type (%s) to deserialize: prevented for security reasons", full));
    }
}
---FILE_END---</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</si>
  <si>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</si>
  <si>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(and things like root value serialization)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</si>
  <si>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</si>
  <si>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</si>
  <si>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</si>
  <si>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
    protected DateTimeSerializerBase(Class&lt;T&gt; type,
            Boolean useTimestamp, DateFormat customFormat)
    {
        super(type);
        _useTimestamp = useTimestamp;
        _customFormat = customFormat;
//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12-Jun-2018, tatu: [databind#2064] Need to make sure we have per-thread instance
        // ... and with that, we better not try to reuse it.
        // Note: we are re-implementing `provider.defaultSerializeDateValue()` here, basically,
        // but we can't call it as it would not use this serializer.
        DateFormat df = (DateFormat) _customFormat.clone();
        // 13-Jun-2018, tatu: [databind#2064] But not only that, must also use per-call
        //    TimeZone...
        df.setTimeZone(provider.getTimeZone());
        g.writeString(df.format(value));
    }
}
---FILE_END---</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</si>
  <si>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</si>
  <si>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Void.class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if (rawType == Void.class) {
                return NullifyingDeserializer.instance;
            }
        }
        return null;
    }
}
---FILE_END---</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</si>
  <si>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</si>
  <si>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CLASS_UNMODIFIABLE_MAP;
    /* 02-Mar-2019, tatu: for [databind#2265], need to consider possible alternate type...
     *    which we essentially coerce into the other one.
     *    ... and there are multiple, so need to check 3 main ones.
     */
    private final static Class&lt;?&gt; CLASS_UNMODIFIABLE_LIST_ALIAS;
    private final static Class&lt;?&gt; CLASS_UNMODIFIABLE_MAP_ALIAS;
    static {
        Set&lt;?&gt; set = Collections.singleton(Boolean.TRUE);
        CLASS_SINGLETON_SET = set.getClass();
        List&lt;?&gt; list = Collections.singletonList(Boolean.TRUE);
        CLASS_SINGLETON_LIST = list.getClass();
        Map&lt;?,?&gt; map = Collections.singletonMap("a", "b");
        CLASS_SINGLETON_MAP = map.getClass();
        // c.f. [databind#2265]
        CLASS_UNMODIFIABLE_SET = Collections.unmodifiableSet(new HashSet&lt;Object&gt;()).getClass();
        // One of two UnmodifiableList impls
        list = Collections.unmodifiableList(new LinkedList&lt;Object&gt;());
        CLASS_UNMODIFIABLE_LIST = list.getClass();
        // The other UnmodifiableList impl
        list = Collections.unmodifiableList(new ArrayList&lt;Object&gt;());
        CLASS_UNMODIFIABLE_LIST_ALIAS = list.getClass();
        // And then couple of UnmodifiableMap impls
        map = Collections.unmodifiableMap(new HashMap&lt;String,Object&gt;());
        CLASS_UNMODIFIABLE_MAP = map.getClass();
        map = Collections.unmodifiableMap(new TreeMap&lt;String,Object&gt;());
        CLASS_UNMODIFIABLE_MAP_ALIAS = 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type.hasRawClass(CLASS_UNMODIFIABLE_LIST_ALIAS))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[databind#2265]: we may have another impl type for unmodifiable Maps, check both
        } else if (type.hasRawClass(CLASS_UNMODIFIABLE_MAP)
                || type.hasRawClass(CLASS_UNMODIFIABLE_MAP_ALIAS))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</si>
  <si>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</si>
  <si>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 23-Nov-2018, tatu: As per [dataformat-xml#282], can not share this
        _rootNameLookup  = new XmlRootNameLookup();
    }
    /**
     * @since 2.8.9
     */
    protected XmlSerializerProvider(XmlSerializerProvider src) {
        super(src);
        // 21-May-2018, tatu: As per [dataformat-xml#282], should NOT really copy
        //    root name lookup as that may link back to diff version, configuration
        // 23-Nov-2018, tatu: ... which was not being done.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</si>
  <si>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</si>
  <si>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(int i = toMove.size()-1; i &gt;= 0; i--) {
            Node node = toMove.get(i);
            element.removeChild(node);
            body().prependChild(node);
            body().prependChild(new TextNode(" ", ""));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</si>
  <si>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</si>
  <si>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
            if (StringUtil.isBlank(attr("publicId")))
                accum.append(" SYSTEM");
            accum.append(" \"").append(attr("systemId")).append("\"");
        }
        accum.append('&gt;');
    }
    @Override
    void outerHtmlTail(StringBuilder accum, int depth, Document.OutputSettings out) {
    }
}
---FILE_END---</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</si>
  <si>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</si>
  <si>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length);
        pos = 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</si>
  <si>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</si>
  <si>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(docData.startsWith("\ufeff"))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</si>
  <si>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</si>
  <si>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String name = tagName.toLowerCase();
        Validate.notEmpty(name);
        String normalName = name.trim();
        synchronized (tags) {
            Tag tag = tags.get(normalName);
            if (tag == null) {
                // not defined: create default; go anywhere, do anything! (incl be inside a &lt;p&gt;)
                tag = new 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</si>
  <si>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</si>
  <si>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(isSafe(sourceEl))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boolean isSafe(Element el) {
        return whitelist.isSafeTag(el.tagName()) || !whitelist.getEnforcedAttributes(el.tagName()).isEmpty();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</si>
  <si>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</si>
  <si>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foundCharset = foundCharset.trim().replaceAll("[\"']", "");
                    if (Charset.isSupported(foundCharset)) { // need to re-decode
                        charsetName = foundCharset;
                        byteData.rewind();
                        docData = Charset.forName(foundCharset).decode(byteData).toString();
                        doc = null;
                    } // else, fall through to default if unsupported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 sometimes it's formatted as charset="charset=UTF-8"
            if (charset.length() == 0) return null;
            try {
                if (Charset.isSupported(charset)) return charset;
                charset = charset.toUpperCase(Locale.ENGLISH);
                if (Charset.isSupported(charset)) return charset;
            } catch (IllegalCharsetNameException e) {
                return null; // if we get an invalid charset name, e.g. "big5; charset=big5"
            }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</si>
  <si>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</si>
  <si>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String text = sourceText.getWholeText();
                if (text.trim().length() &gt; 0) {
                    TextNode destText = new TextNode(text, source.baseUri());
                    destination.appendChild(destText);
                }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</si>
  <si>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</si>
  <si>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 KMP like, but not
            if (offset &lt; length) {
                int i = offset + 1;
                int last = i + seq.length()-1;
                if (last &lt; length) {
                    for (int j = 1; i &lt; last &amp;&amp; seq.charAt(j) == input[i]; i++, j++);
                    if (i == last)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while (!isEmpty()) {
            boolean found = false;
            for (char c : chars) {
                if (input[pos] == c) {
                    found = true;
                    break;
                }
            }
            if (found)
                break;
            pos++;
        }
        return pos &gt; start ? new String(input, start, pos - 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</si>
  <si>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</si>
  <si>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if (charsetName == null)
            doc.outputSettings().charset(defaultCharset);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</si>
  <si>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</si>
  <si>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 check for BOM, and update charsetName if found
        String bomCharset = detectCharsetFromBom(byteData);
        if (bomCharset != null)
            charsetName = bomCharset;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!foundCharset.equalsIgnoreCase(defaultCharset))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 Look for a Byte Order Mark (BOM) at the start of the stream, to detect the charset.
     * http://www.unicode.org/unicode/faq/utf_bom.html
     *
     * @param byteData buffer to inspect.
     * @return a charset name if a BOM is found, or null if not.
     */
    private static String detectCharsetFromBom(final ByteBuffer byteData) {
        byteData.mark();
        final byte[] bom = new byte[4];
        if (byteData.remaining() &gt;= bom.length) {
            byteData.get(bom);
            byteData.rewind();
        }
        if ( // UTF-32, big-endian
                (bom[0] == 0x00 &amp;&amp; bom[1] == 0x00 &amp;&amp; bom[2] == (byte) 0xFE &amp;&amp; bom[3] == (byte) 0xFF) ||
                // UTF-32, little-endian
                (bom[0] == (byte) 0xFF &amp;&amp; bom[1] == (byte) 0xFE &amp;&amp; bom[2] == 0x00 &amp;&amp; bom[3] == 0x00)
                ) {
            return "UTF-32"; // 'UTF-32' implies big-endian, but Charset recognises BOM and detects endianness
        } else if ( // UTF-16, big-endian
                (bom[0] == (byte) 0xFE &amp;&amp; bom[1] == (byte) 0xFF) ||
                // UTF-16, little-endian
                (bom[0] == (byte) 0xFF &amp;&amp; bom[1] == (byte) 0xFE)
                ) {
            return "UTF-16"; // 'UTF-16' implies big-endian, but Charset recognises BOM and detects endianness
        } else if (bom[0] == (byte) 0xEF &amp;&amp; bom[1] == (byte) 0xBB &amp;&amp; bom[2] == (byte) 0xBF) {
            byteData.position(3); // skip BOM
            return "UTF-8";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</si>
  <si>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</si>
  <si>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if ("".equals(publicId))
            publicId = null;
        attr("publicId", publicId);
        if ("".equals(systemId))
            systemId = null;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</si>
  <si>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</si>
  <si>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if (el.hasAttr("disabled")) continue;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</si>
  <si>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</si>
  <si>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for error tracking and for re-inserting tokens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currentToken = tokeniser.read();
            process(currentToken);
            if (currentToken.type == Token.TokenType.EOF)
                break;
            currentToken.reset();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</si>
  <si>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</si>
  <si>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and various international chars
                // simply try to set the attribute. the DOM will complain if it's invalid
                try {
                    el.setAttribute(attribute.getKey(), attribute.getValue());
                } catch (org.w3c.dom.DOMException e) {
                    // if the key is not a valid XML name, DOM impl will throw.
                    // currently, we just skip those attributes.
                    // todo: should we do anything else? format a warning?
                    // see: https://github.com/jhy/jsoup/issues/721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</si>
  <si>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</si>
  <si>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if ("submit".equalsIgnoreCase(type)) {
                // exclude submit buttons from form data
                continue;
            }
            else {
                data.add(HttpConnection.KeyVal.create(name, el.val()));
            }
        }
        return data;
    }
}
---FILE_END---</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</si>
  <si>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</si>
  <si>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
                // skip xmlns attributes as they have been dealt with in updateNamespaces
                if (key.equals(xmlnsKey) || key.startsWith(xmlnsPrefix)) {
                    continue;
                }
                String prefix = null;
                String namespace = null;
                if (key.contains(":")) {
                    prefix = key.substring(0, key.indexOf(":"));
                    namespace = namespaces.get(prefix);
                }
                el.setAttributeNS(namespace,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</si>
  <si>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</si>
  <si>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(!tag.isSelfClosing()) { // don't clone if it's already self-closing e.g. &lt;br /&gt;
                tag = tag.clone();
                tag.setSelfClosing();
                el.tag(tag);
            }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</si>
  <si>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</si>
  <si>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attributes().get(nodeName());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</si>
  <si>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</si>
  <si>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String declaration = data.substring(1, data.length() - 1);
                if (declaration.length() &gt; 0) { // make sure we don't parse empty strings
                    Document doc = Jsoup.parse("&lt;" + declaration + "&gt;", baseUri, Parser.xmlParser());
                    if (doc.children().size() &gt; 0) {
                        Element el = doc.child(0);
                        insert = new XmlDeclaration(settings.normalizeTag(el.tagName()), data.startsWith("!"));
                        insert.attributes().addAll(el.attributes());
                    }
                }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</si>
  <si>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</si>
  <si>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if (dest != null) {
                    Text text = doc.createTextNode(sourceText.getWholeText());
                    dest.appendChild(text);
                }
            } else if (source instanceof org.jsoup.nodes.Comment) {
                org.jsoup.nodes.Comment sourceComment = (org.jsoup.nodes.Comment) source;
                if (dest != null) {
                    Comment comment = doc.createComment(sourceComment.getData());
                    dest.appendChild(comment);
                }
            } else if (source instanceof org.jsoup.nodes.DataNode) {
                org.jsoup.nodes.DataNode sourceData = (org.jsoup.nodes.DataNode) source;
                if (dest != null) {
                    Text node = doc.createTextNode(sourceData.getWholeData());
                    dest.appendChild(node);
                }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</si>
  <si>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</si>
  <si>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this.val;
        if (parent != null) {
            oldVal = parent.get(this.key);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</si>
  <si>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</si>
  <si>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String declData = data.substring(1, data.length() - 1);
        if (declData.trim().length() == 0)
            return null;
        Document doc = Jsoup.parse("&lt;" + declData + "&gt;", baseUri(), Parser.xmlParser());
        XmlDeclaration decl = null;
        if (doc.children().size() &gt; 0) {
            Element el = doc.child(0);
            decl = new XmlDeclaration(NodeUtils.parser(doc).settings().normalizeTag(el.tagName()), data.startsWith("!"));
            decl.attributes().addAll(el.attributes());
            if (this.ownerDocument() != null)
                decl.setOwnerDocument(this.ownerDocument());
        }
        return decl;
    }
}
---FILE_END---</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</si>
  <si>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</si>
  <si>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{\n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(\n            out.syntax() == Document.OutputSettings.Syntax.html &amp;&amp;
                (val == null || ("".equals(val) || val.equalsIgnoreCase(key)) &amp;&amp; Attribute.isBooleanAttribute(key)));
    }
    /**
     * @deprecated
     */
    protected boolean isBooleanAttribute() {
        return isBooleanAttribute(key);
    }
    /**
     * Checks if this attribute name is defined as a boolean attribute in HTML5
     */
    protected static boolean isBooleanAttribute(final String key) {
        return Arrays.binarySearch(booleanAttributes, key.toLowerCase())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</si>
  <si>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</si>
  <si>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this.val;
        if (parent != null) {
            oldVal = parent.get(this.key);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</si>
  <si>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</si>
  <si>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el.hasAttr("value") ? el.val() : "on";
                    data.add(HttpConnection.KeyVal.create(name, val));
                }
            } else {
                String val = el.val();
                data.add(HttpConnection.KeyVal.create(name, val == null ? "" : val));
            }
        }
        return data;
    }
}
---FILE_END---</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</si>
  <si>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</si>
  <si>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((EvalContext) result).getValueIterator();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</si>
  <si>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</si>
  <si>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 In order to set a value of a non-existent property, we need to
        // create that property. That's what createPath() does.
        createPath(JXPathContext.newContext(null)).setValue(value);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</si>
  <si>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</si>
  <si>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return equal(l, r);
    }
    /**
     * See if an iterator contains a given value.
     * @param it iterator
     * @param value value to check for
     * @return boolean
     */
    protected boolean contains(Iterator it, Object value) {
        while (it.hasNext()) {
            Object element = it.next();
            if (equal(element, value)) {
                return true;
            }
        }
        return false;
    }
    /**
     * See if two iterators have any common elements.
     * @param lit left iterator
     * @param rit right iterator
     * @return boolean
     */
    protected boolean findMatch(Iterator lit, Iterator rit) {
        HashSet left = new HashSet();
        while (lit.hasNext()) {
            left.add(InfoSetUtil.stringValue(lit.next()));
        }
        while (rit.hasNext()) {
            if (left.contains(InfoSetUtil.stringValue(rit.next()))) {
                return true;
            }
        }
        return false;
    }
    protected boolean equal(Object l, Object r) {
        if (l instanceof Pointer) {
            l = ((Pointer) l).getValue();
        }
        if (r instanceof Pointer) {
            r = ((Pointer) r).getValue();
        }
        if (l instanceof Collection) {
            l = ((Collection) l).iterator();
        }
        if (r instanceof Collection) {
            r = ((Collection) r).iterator();
        }
        if (l instanceof Iterator || r instanceof Iterator) {
            return equal(l, r, true);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 Compare a possibly-iterator to another object
     * @param l left operand
     * @param r right operand
     * @param basic basic comparison
     * @return boolean
     */
    private boolean equal(Object l, Object r, boolean basic) {
        if (l instanceof Iterator &amp;&amp; r instanceof Iterator) {
            return findMatch((Iterator) l, (Iterator) r);
        }
        if (l instanceof Iterator) {
            return contains((Iterator) l, r);
        }
        if (r instanceof Iterator) {
            return contains((Iterator) r, l);
        }
        return false; // Should not happen
    }
}
---FILE_END---</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</si>
  <si>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</si>
  <si>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java.util.Iterator;
import org.apache.commons.jxpath.ri.EvalContext;
/**
 * Base implementation of Expression for the operations "&amp;gt;", "&amp;gt;=", "&amp;lt;", "&amp;lt;=".
 *
 * @author Matt Benson
 * @version $Revision:$ $Date:$
 */
public abstract class CoreOperationRelationalExpression extends CoreOperation {
    protected CoreOperationRelationalExpression(Expression[] args) {
        super(args);
    }
    public Object computeValue(EvalContext context) {
        Object arg1 = args[0].computeValue(context);
        Object arg2 = args[1].computeValue(context);
        if (arg1 instanceof Iterator) {
            if (arg2 instanceof Iterator) {
                return computeMultiple((Iterator) arg1, (Iterator) arg2);
            }
            return compute((Iterator) arg1, arg2);
        }
        if (arg2 instanceof Iterator) {
            return compute(arg1, (Iterator) arg2);
        }
        return evaluate(arg1, arg2) ? Boolean.TRUE : Boolean.FALSE;
    }
    private Object compute(Iterator it, Object R) {
        while (it.hasNext()) {
            Object L = it.next();
            if (evaluate(L, R)) {
                return Boolean.TRUE;
            }
        }
        return Boolean.FALSE;
    }
    private Object compute(Object L, Iterator it) {
        while (it.hasNext()) {
            Object R = it.next();
            if (evaluate(L, R)) {
                return Boolean.TRUE;
            }
        }
        return Boolean.FALSE;
    }
    private Object computeMultiple(Iterator it1, Iterator it2) {
        // This is a naive implementation. A better one would be to
        // build an array of values for the second iterator and then
        // do a quick walk through the first iterator.
        java.util.List list2 = new java.util.ArrayList();
        while (it2.hasNext()) {
            list2.add(it2.next());
        }
        while (it1.hasNext()) {
            Object p1 = it1.next();
            for (int i = 0; i &lt; list2.size(); i++) {
                if (evaluate(p1, list2.get(i))) {
                    return Boolean.TRUE;
                }
            }
        }
        return Boolean.FALSE;
    }
    protected abstract boolean evaluate(Object left, Object right);
    protected final int getPrecedence() {
        return 3;
    }
    protected final boolean isSymmetric() {
        return false;
    }
}
---FILE_END---</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</si>
  <si>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</si>
  <si>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Object r = rit.next();
            if (containsMatch(left.iterator(), r))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</si>
  <si>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</si>
  <si>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incorrect handling of `NaN` in equality comparisons. According to the XPath specification, any equality comparison involving `NaN` should result in `false`. This applies to the `=` operator. For `!=`, which is defined as `not(=)`, a comparison involving `NaN` should result in `true`. The existing implementation relied on Java's `==` operator for doubles, which correctly handles `NaN` comparisons for the `=` case (`NaN == x` is always `false`). However, the committed fix for this bug introduces a more explicit check for `NaN` to ensure correctness and improve clarity.
The bug fix involves modifying `CoreOperationCompare.java`, which is the superclass for `=` (`CoreOperationEqual`) and `!=` (`CoreOperationNotEqual`) operations. A new private helper method, `numberEqual`, is introduced to encapsulate the logic for numeric comparison. This method explicitly checks if either operand is `NaN` and returns `false` in that case, otherwise it performs a standard numeric equality check. The main `equal` method is updated to use this new helper for numeric comparisons.
The provided original file `org.apache.commons.jxpath.ri.compiler.CoreOperationCompare.java` also contained syntax errors (stray braces and an invalid line continuation character) which are corrected as part of the fix.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a number, do a number comparison
        if (l instanceof Number || r instanceof Number) {
            return numberEqual(l, r);
        }
        if (l instanceof String || r instanceof String) {
            return InfoSetUtil.stringValue(l).equals(InfoSetUtil.stringValue(r));
        }
        return l != null &amp;&amp; l.equals(r);
    }
    private boolean numberEqual(Object l, Object r) {
        double ld = InfoSetUtil.doubleValue(l);
        double rd = InfoSetUtil.doubleValue(r);
        if (Double.isNaN(ld) || Double.isNaN(rd)) {
            return false;
        }
        return ld == rd;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</si>
  <si>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</si>
  <si>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containsMatch(left, (Iterator) right);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containsMatch(Object value, Iterator it) {
        while (it.hasNext()) {
            Object element = it.next();
            if (compute(value, element)) {
                return true;
            }
        }
        return false;
    }
    private boolean findMatch(Iterator lit, Iterator rit) {
        HashSet left = new HashSet();
        while (lit.hasNext()) {
            left.add(InfoSetUtil.stringValue(lit.next()));
        }
        while (rit.hasNext()) {
            String rval = InfoSetUtil.stringValue(rit.next());
            for (Iterator it = left.iterator(); it.hasNext();) {
                String lval = (String) it.next();
                double ld = InfoSetUtil.doubleValue(lval);
                double rd = InfoSetUtil.doubleValue(rval);
                if (!Double.isNaN(ld) &amp;&amp; !Double.isNaN(rd)
                        &amp;&amp; evaluateCompare(ld == rd ? 0 : ld &lt; rd ? -1 : 1)) {
                    return true;
                }
            }
        }
        return false;
    }
}
---FILE_END---</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</si>
  <si>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</si>
  <si>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attribute wildcard selectors like `@*` and `@p:*` are not handled correctly by `DOMAttributeIterator` and `JDOMAttributeIterator`. The `@*` selector should match all attributes of an element (except for namespace declarations), regardless of their namespace. The `@p:*` selector should match all attributes that are in the namespace mapped to the prefix `p`.
The current implementations incorrectly filter attributes based on their prefix or lack thereof, rather than their namespace URI. For `@*`, they only match attributes without a prefix.
The fix involves modifying the logic that tests whether an attribute matches the selector.
For `DOMAttributeIterator.java`, the `testAttr` method is rewritten. The new logic correctly handles namespace URI comparison for prefixed wildcards and simply accepts all non-`xmlns` attributes for the general wildcard `@*`.
For `JDOMAttributeIterator.java`, the changes are more extensive. The constructor logic is overhauled to correctly handle both specific attribute selections (`@foo`, `@p:foo`) and wildcard selections (`@*`, `@p:*`). Two new helper methods, `getNamespace` and `testAttribute`, are introduced to encapsulate and clarify the logic for namespace resolution and attribute testing. A `QName` field is also added to the class to make the query name available to these new methods.
Here are the corrected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attrName = attr.getName();
        if (attrName.equals("xmlns") || attrName.startsWith("xmlns:")) {
            return false;
        }
        String testPrefix = testName.getPrefix();
        String testLocalName = name.getName();
        if (testPrefix != null) {
            String testNS = null;
            testNS = parent.getNamespaceURI(testPrefix);
            return equalStrings(testNS, attr.getNamespaceURI())
                &amp;&amp; (testLocalName.equals("*")
                    || testLocalName.equals(DOMNodePointer.getLocalName(attr)));
        }
        return testLocalName.equals("*")
            || testLocalName.equals(DOMNodePointer.getLocalName(attr));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 attributes;
    private int position = 0;
    public JDOMAttributeIterator(NodePointer parent, QName name) {
        this.parent = parent;
        this.name = name;
        if (parent.getNode() instanceof Element) {
            Element element = (Element) parent.getNode();
            String lname = name.getName();
            String prefix = name.getPrefix();
            if (!lname.equals("*")) {
                attributes = new ArrayList();
                Namespace ns = getNamespace(element, prefix);
                if (ns != null) {
                    Attribute attr = element.getAttribute(lname, ns);
                    if (attr != null) {
                        attributes.add(attr);
                    }
                }
                else if (prefix == null) {
                    Attribute attr =
                        element.getAttribute(lname, Namespace.NO_NAMESPACE);
                    if (attr != null) {
                        attributes.add(attr);
                    }
                }
            }
            else {
                attributes = new ArrayList();
                List allAttributes = element.getAttributes();
                String testPrefix = name.getPrefix();
                if (testPrefix != null) {
                    Namespace ns = getNamespace(element, testPrefix);
                    if (ns == null) {
                        return;
                    }
                }
                for (int i = 0; i &lt; allAttributes.size(); i++) {
                    Attribute attr = (Attribute) allAttributes.get(i);
                    testAttribute(attr);
                }
            }
        }
    }
    private Namespace getNamespace(Element element, String prefix) {
        if (prefix == null) {
            return null;
        }
        if (prefix.equals("xml")) {
            return Namespace.XML_NAMESPACE;
        }
        Namespace ns = element.getNamespace(prefix);
        if (ns == null) {
            // TBD: no attributes
        }
        return ns;
    }
    private void testAttribute(Attribute attr) {
        String prefix = name.getPrefix();
        if (prefix != null) {
            Namespace ns = getNamespace((Element) parent.getNode(), prefix);
            if (attr.getNamespace().equals(ns)) {
                attributes.add(attr);
            }
        }
        else {
            attributes.add(attr);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</si>
  <si>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</si>
  <si>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java.util.Collections;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ArrayList pointers = new ArrayList();
            for (int i = 0; i &lt; contexts.length; i++) {
                EvalContext ctx = (EvalContext) contexts[i];
                while (ctx.nextSet()) {
                    while (ctx.nextNode()) {
                        NodePointer ptr = ctx.getCurrentNodePointer();
                        if (!pointers.contains(ptr)) {
                            pointers.add(ptr);
                        }
                    }
                }
            }
            Collections.sort(pointers);
            BasicNodeSet nodeSet = (BasicNodeSet) getNodeSet();
            for (int i = 0; i &lt; pointers.size(); i++) {
                nodeSet.add((NodePointer) pointers.get(i));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</si>
  <si>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</si>
  <si>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nodeLocalName = DOMNodePointer.getLocalName(attr);
        String testLocalName = name.getName();
        if (testLocalName.equals("*") || testLocalName.equals(nodeLocalName)) {
            String attrName = attr.getName();
            if (attrName.equals("xmlns") || attrName.startsWith("xmlns:")) {
                return false;
            }
            String testPrefix = name.getPrefix();
            if (testPrefix == null) {
                return true;
            }
            String nodePrefix = DOMNodePointer.getPrefix(attr);
            return equalStrings(testPrefix, nodePrefix);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attributes = new ArrayList();
        if (parent.getNode() instanceof Element) {
            Element element = (Element) parent.getNode();
            String lname = name.getName();
            if (!lname.equals("*")) {
                String prefix = name.getPrefix();
                Namespace ns;
                if (prefix != null) {
                    if (prefix.equals("xml")) {
                        ns = Namespace.XML_NAMESPACE;
                    }
                    else {
                        String uri =
                            parent.getNamespaceResolver().getNamespaceURI(
                                prefix);
                        if (uri == null) {
                            return;
                        }
                        ns = Namespace.getNamespace(prefix, uri);
                    }
                }
                else {
                    ns = Namespace.NO_NAMESPACE;
                }
                Attribute attr = element.getAttribute(lname, ns);
                if (attr != null) {
                    attributes.add(attr);
                }
            }
            else {
                String prefix = name.getPrefix();
                if (prefix == null) {
                    attributes.addAll(element.getAttributes());
                }
                else {
                    Namespace ns;
                    if (prefix.equals("xml")) {
                        ns = Namespace.XML_NAMESPACE;
                    }
                    else {
                        String uri =
                            parent.getNamespaceResolver().getNamespaceURI(
                                prefix);
                        if (uri == null) {
                            return;
                        }
                        ns = Namespace.getNamespace(prefix, uri);
                    }
                    List allAttributes = element.getAttributes();
                    for (int i = 0; i &lt; allAttributes.size(); i++) {
                        Attribute attr = (Attribute) allAttributes.get(i);
                        if (attr.getNamespace().equals(ns)) {
                            attributes.add(attr);
                        }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</si>
  <si>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</si>
  <si>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QName name =
                nodeTest instanceof NodeNameTest
                    ? ((NodeNameTest) nodeTest).getNodeName()
                    : new QName(null, "*");
            iterator =
                parentContext.getCurrentNodePointer().attributeIterator(name);
        }
        if (iterator == null) {
            return false;
        }
        while (iterator.setPosition(iterator.getPosition() + 1)) {
            NodePointer ptr = iterator.getNodePointer();
            if (nodeTest.test(ptr)) {
                currentNodePointer = ptr;
                return true;
            }
        }
        return false;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</si>
  <si>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</si>
  <si>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false)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boolean reverse) {
        left = reduce(left);
        right = reduce(right);
        if (left instanceof InitialContext) {
            ((InitialContext) left).reset();
        }
        if (right instanceof InitialContext) {
            ((InitialContext) right).reset();
        }
        if (left instanceof Iterator &amp;&amp; right instanceof Iterator) {
            return findMatch((Iterator) left, (Iterator) right, reverse);
        }
        if (left instanceof Iterator) {
            return containsMatch((Iterator) left, right, reverse);
        }
        if (right instanceof Iterator) {
            return containsMatch((Iterator) right, left, !reverse);
        }
        double ld = InfoSetUtil.doubleValue(left);
        if (Double.isNaN(ld)) {
            return false;
        }
        double rd = InfoSetUtil.doubleValue(right);
        if (Double.isNaN(rd)) {
            return false;
        }
        int comparison = ld == rd ? 0 : ld &lt; rd ? -1 : 1;
        if (reverse) {
            comparison = -comparison;
        }
        return evaluateCompare(comparison);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boolean reverse) {
        while (it.hasNext()) {
            Object element = it.next();
            // The following is a recursive call
            if (compute(element, value, reverse))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boolean reverse) {
        HashSet left = new HashSet();
        while (lit.hasNext()) {
            left.add(lit.next());
        }
        while (rit.hasNext()) {
            if (containsMatch(left.iterator(), rit.next(), reverse)) {
                return true;
            }
        }
        return false;
    }
}
---FILE_END---</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</si>
  <si>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</si>
  <si>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return index == other.index;
    }
    public int compareChildNodePointers(
        NodePointer pointer1,
        NodePointer pointer2) {
        return getValuePointer().compareChildNodePointers(pointer1, pointer2);
    }
}
---FILE_END---</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</si>
  <si>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</si>
  <si>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 Can't be null given CharSequence API
                char[] c = Character.toChars(Character.codePointAt(input, pos));
                out.write(c);
                pos += c.length;
                continue;
            }
            // contract with translators is that they have to understand codepoints 
            // and they just took care of a surrogate pair
            for (int pt = 0; pt &lt; consumed; pt++) {
                // It is possible for translate(B, 1, C) to go over a surrogate pair
                // so we have to use Character.charCount rather than Character.toChars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</si>
  <si>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</si>
  <si>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if(input.charAt(index) == '&amp;' &amp;&amp; index &lt; seqEnd - 2 &amp;&amp; input.charAt(index + 1) == '#') {
            int start = index + 2;
            boolean isHex = false;
            char firstChar = input.charAt(start);
            if(firstChar == 'x' || firstChar == 'X') {
                start++;
                isHex = true;
                // Check there's still something to read
                if(start == seqEnd) {
                    return 0;
                }
            }
            int end = start;
            // Note that this supports character codes without a ; on the end
            while(end &lt; seqEnd &amp;&amp; input.charAt(end) != ';') {
                end++;
            }
            boolean semiNext = (end != seqEnd) &amp;&amp; (input.charAt(end) == ';');
            int entityValue;
            try {
                if(isHex) {
                    entityValue = Integer.parseInt(input.subSequence(start, end).toString(), 16);
                } else {
                    entityValue = Integer.parseInt(input.subSequence(start, end).toString(), 10);
                }
            } catch(NumberFormatException nfe) {
                return 0;
            }
            if(entityValue &gt; 0xFFFF) {
                char[] chrs = Character.toChars(entityValue);
                out.write(chrs[0]);
                out.write(chrs[1]);
            } else {
                out.write(entityValue);
            }
            return (end - index) + (semiNext ? 1 : 0);
        }
        return 0;
    }
}
---FILE_END---</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</si>
  <si>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</si>
  <si>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int len = input.length();
        if(input.charAt(index) == '&amp;' &amp;&amp; index &lt; len - 2 &amp;&amp; input.charAt(index + 1) == '#') {
            int start = index + 2;
            boolean isHex = false;
            char firstChar = input.charAt(start);
            if(firstChar == 'x' || firstChar == 'X') {
                start++;
                isHex = true;
                // Check for "&amp;#x;"
                if(start == len) {
                    return 0;
                }
            }
            int end = start;
            while(end &lt; len &amp;&amp; input.charAt(end) != ';') {
                end++;
            }
            if(end == len) {
                return 0;
            }
            int entityValue;
            try {
                if(isHex) {
                    entityValue = Integer.parseInt(input.subSequence(start, end).toString(), 16);
                } else {
                    entityValue = Integer.parseInt(input.subSequence(start, end).toString(), 10);
                }
            } catch(NumberFormatException nfe) {
                return 0;
            }
            if(entityValue &gt; 0xFFFF) {
                char[] chars = Character.toChars(entityValue);
                out.write(chars);
            } else {
                out.write(entityValue);
            }
            return 2 + (end - start) + (isHex ? 1 : 0) + 1;
        }
        return 0;
    }
}
---FILE_END---</t>
  </si>
  <si>
    <t>COMPILE DIFF</t>
  </si>
  <si>
    <t>NUM DIFF</t>
  </si>
  <si>
    <t>UNION</t>
  </si>
  <si>
    <t>INTERSECTION</t>
  </si>
  <si>
    <t>JACCARD</t>
  </si>
  <si>
    <t>Row Labels</t>
  </si>
  <si>
    <t>Grand Total</t>
  </si>
  <si>
    <t>Sum of COMPILE DIFF</t>
  </si>
  <si>
    <t>Sum of NUM DIFF</t>
  </si>
  <si>
    <t>Sum of UNION</t>
  </si>
  <si>
    <t>Sum of INTERSECTION</t>
  </si>
  <si>
    <t>Count of BUG</t>
  </si>
  <si>
    <t>Average of JACCARD</t>
  </si>
  <si>
    <t>Average of UNION</t>
  </si>
  <si>
    <t>Average of INTERSECTION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</si>
</sst>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Surakasi " refreshedDate="46087.770927083337" createdVersion="8" refreshedVersion="8" minRefreshableVersion="3" recordCount="122" xr:uid="{2A304B97-B418-EA45-9906-7B01BDBD376F}">
  <cacheSource type="worksheet">
    <worksheetSource ref="A1:W123" sheet="gemini_pro_bullet_prompt_result"/>
  </cacheSource>
  <cacheFields count="23">
    <cacheField name="PROJECT" numFmtId="0">
      <sharedItems count="12">
        <s v="Cli"/>
        <s v="Closure"/>
        <s v="Codec"/>
        <s v="Collections"/>
        <s v="Compress"/>
        <s v="Csv"/>
        <s v="JacksonCore"/>
        <s v="JacksonDatabind"/>
        <s v="JacksonXml"/>
        <s v="Jsoup"/>
        <s v="JxPath"/>
        <s v="Lang"/>
      </sharedItems>
    </cacheField>
    <cacheField name="BUG" numFmtId="0">
      <sharedItems containsSemiMixedTypes="0" containsString="0" containsNumber="1" containsInteger="1" minValue="1" maxValue="164"/>
    </cacheField>
    <cacheField name="PROMPT" numFmtId="0">
      <sharedItems longText="1"/>
    </cacheField>
    <cacheField name="RAW OUTPUT" numFmtId="0">
      <sharedItems longText="1"/>
    </cacheField>
    <cacheField name="EXCEPTION" numFmtId="0">
      <sharedItems containsNonDate="0" containsString="0" containsBlank="1"/>
    </cacheField>
    <cacheField name="COMPILE" numFmtId="0">
      <sharedItems/>
    </cacheField>
    <cacheField name="NUMBER OF FAILED TESTS" numFmtId="0">
      <sharedItems containsSemiMixedTypes="0" containsString="0" containsNumber="1" containsInteger="1" minValue="0" maxValue="8"/>
    </cacheField>
    <cacheField name="FAILED TESTS" numFmtId="0">
      <sharedItems containsBlank="1" longText="1"/>
    </cacheField>
    <cacheField name="TIMESTAMP" numFmtId="164">
      <sharedItems containsSemiMixedTypes="0" containsNonDate="0" containsDate="1" containsString="0" minDate="2026-03-04T22:17:26" maxDate="2026-03-05T05:22:50"/>
    </cacheField>
    <cacheField name="PROJECT2" numFmtId="0">
      <sharedItems/>
    </cacheField>
    <cacheField name="BUG2" numFmtId="0">
      <sharedItems containsSemiMixedTypes="0" containsString="0" containsNumber="1" containsInteger="1" minValue="1" maxValue="164"/>
    </cacheField>
    <cacheField name="PROMPT2" numFmtId="0">
      <sharedItems longText="1"/>
    </cacheField>
    <cacheField name="RAW OUTPUT2" numFmtId="0">
      <sharedItems longText="1"/>
    </cacheField>
    <cacheField name="EXCEPTION2" numFmtId="0">
      <sharedItems containsNonDate="0" containsString="0" containsBlank="1"/>
    </cacheField>
    <cacheField name="COMPILE2" numFmtId="0">
      <sharedItems/>
    </cacheField>
    <cacheField name="NUMBER OF FAILED TESTS2" numFmtId="0">
      <sharedItems containsSemiMixedTypes="0" containsString="0" containsNumber="1" containsInteger="1" minValue="0" maxValue="475"/>
    </cacheField>
    <cacheField name="FAILED TESTS2" numFmtId="0">
      <sharedItems containsBlank="1" longText="1"/>
    </cacheField>
    <cacheField name="TIMESTAMP2" numFmtId="164">
      <sharedItems containsSemiMixedTypes="0" containsNonDate="0" containsDate="1" containsString="0" minDate="2026-02-16T05:08:36" maxDate="2026-02-16T11:18:35"/>
    </cacheField>
    <cacheField name="COMPILE DIFF" numFmtId="0">
      <sharedItems containsSemiMixedTypes="0" containsString="0" containsNumber="1" containsInteger="1" minValue="0" maxValue="1"/>
    </cacheField>
    <cacheField name="NUM DIFF" numFmtId="0">
      <sharedItems containsSemiMixedTypes="0" containsString="0" containsNumber="1" containsInteger="1" minValue="0" maxValue="474"/>
    </cacheField>
    <cacheField name="UNION" numFmtId="0">
      <sharedItems containsSemiMixedTypes="0" containsString="0" containsNumber="1" containsInteger="1" minValue="0" maxValue="399"/>
    </cacheField>
    <cacheField name="INTERSECTION" numFmtId="0">
      <sharedItems containsSemiMixedTypes="0" containsString="0" containsNumber="1" containsInteger="1" minValue="0" maxValue="6"/>
    </cacheField>
    <cacheField name="JACCARD" numFmtId="0">
      <sharedItems containsSemiMixedTypes="0" containsString="0" containsNumber="1" minValue="0" maxValue="3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n v="1"/>
    <s v="_x000a_Bug report URL: https://issues.apache.org/jira/browse/CLI-13_x000a__x000a_Original files:_x000a_---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res == null)_x000a_        {_x000a_            return null;_x000a_        }_x000a__x000a_        String key = Util.stripLeadingHyphens(opt);_x000a_        if (names.containsKey(key))_x000a_        {_x000a_            key = (String) names.get(key);_x000a_        }_x000a__x000a_        return TypeHandler.createValue(res, ((Option) options.get(key)).get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FILE_END---"/>
    <m/>
    <s v="success"/>
    <n v="1"/>
    <s v="org.apache.commons.cli.bug.BugCLI13Test::testCLI13"/>
    <d v="2026-03-04T22:17:26"/>
    <s v="Cli"/>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        String key = (String) names.get(opt);_x000a_        if (key == null)_x000a_        {_x000a_            key = 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FILE_END---"/>
    <m/>
    <s v="success"/>
    <n v="1"/>
    <s v="org.apache.commons.cli.bug.BugCLI13Test::testCLI13"/>
    <d v="2026-02-16T05:08:36"/>
    <n v="0"/>
    <n v="0"/>
    <n v="1"/>
    <n v="1"/>
    <n v="1"/>
  </r>
  <r>
    <x v="0"/>
    <n v="3"/>
    <s v="_x000a_Bug report URL: https://issues.apache.org/jira/browse/CLI-1_x000a__x000a_Original files:_x000a_---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Date date = null;_x000a__x000a_        if (date == null)_x000a_        {_x000a_            System.err.println(&quot;Unable to parse: &quot; + str);_x000a_        }_x000a__x000a_        return date;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 @throws ParseException if the value creation fails_x000a_     */_x000a_    public static Object createValue(String str, Object obj)_x000a_        throws ParseException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 @throws ParseException if the value creation fails_x000a_     */_x000a_    public static Object createValue(String str, Class clazz)_x000a_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throw new ParseException(&quot;Unable to handle the class: &quot; + clazz);_x000a_        }_x000a_    }_x000a__x000a_    /**_x000a_      * &lt;p&gt;Create an Object from the classname and empty constructor.&lt;/p&gt;_x000a_      *_x000a_      * @param str the argument value_x000a_      * @return the initialised object_x000a_      * @throws ParseException if the class cannot be found or instantiated_x000a_      */_x000a_    public static Object createObject(String str)_x000a_        throws ParseException_x000a_    {_x000a_        Class cl = null;_x000a__x000a_        try_x000a_        {_x000a_            cl = Class.forName(str);_x000a_        }_x000a_        catch (ClassNotFoundException cnfe)_x000a_        {_x000a_            throw new ParseException(&quot;Unable to find the class: &quot; + str);_x000a_        }_x000a__x000a_        Object instance = null;_x000a__x000a_        try_x000a_        {_x000a_            instance = cl.newInstance();_x000a_        }_x000a_        catch (InstantiationException cnfe)_x000a_        {_x000a_            throw new ParseException(&quot;Unable to instantiate the class: &quot;_x000a_                               + str);_x000a_        }_x000a_        catch (IllegalAccessException cnfe)_x000a_        {_x000a_            throw new ParseException(&quot;Unable to instantiate the class: &quot;_x000a_                               + str);_x000a_        }_x000a__x000a_        return instance;_x000a_    }_x000a__x000a_    /**_x000a_     * &lt;p&gt;Create a number from a String. If a . is present, it creates a _x000a_     *    Double, otherwise a Long. &lt;/p&gt;_x000a_     *_x000a_     * @param str the value_x000a_     * @return the number represented by &lt;code&gt;str&lt;/code&gt;_x000a_     * @throws ParseException if &lt;code&gt;str&lt;/code&gt; is not a number_x000a_     */_x000a_    public static Number createNumber(String str)_x000a_        throws ParseException_x000a_    {_x000a_        try_x000a_        {_x000a_            return org.apache.commons.lang.math.NumberUtils.createNumber(str);_x000a_        }_x000a_        catch (NumberFormatException nfe)_x000a_        {_x000a_            throw new ParseException(&quot;Unable to parse the number: &quot; + str);_x000a_        }_x000a_    }_x000a__x000a_    /**_x000a_     * &lt;p&gt;Returns the class whose name is &lt;code&gt;str&lt;/code&gt;.&lt;/p&gt;_x000a_     *_x000a_     * @param str the class name_x000a_     * @return The class if it is found_x000a_     * @throws ParseException if the class is not found_x000a_     */_x000a_    public static Class createClass(String str)_x000a_        throws ParseException_x000a_    {_x000a_        try_x000a_        {_x000a_            return Class.forName(str);_x000a_        }_x000a_        catch (ClassNotFoundException cnfe)_x000a_        {_x000a_            throw new ParseException(&quot;Unable to find the class: &quot; + str);_x000a_        }_x000a_    }_x000a__x000a_    /**_x000a_     * &lt;p&gt;Returns the date represented by &lt;code&gt;str&lt;/code&gt;.&lt;/p&gt;_x000a_     * &lt;p&gt;This method is not yet implemented and will throw an_x000a_     * UnsupportedOperationException.&lt;/p&gt;_x000a_     *_x000a_     * @param str the date string_x000a_     * @return The date_x000a_     * @throws UnsupportedOperationException always_x000a_     */_x000a_    public static Date createDate(String str)_x000a_        throws ParseException_x000a_    {_x000a_        throw new UnsupportedOperationException(&quot;Not yet implemented&quot;);_x000a_    }_x000a__x000a_    /**_x000a_     * &lt;p&gt;Returns the URL represented by &lt;code&gt;str&lt;/code&gt;.&lt;/p&gt;_x000a_     *_x000a_     * @param str the URL string_x000a_     * @return The URL is &lt;code&gt;str&lt;/code&gt; is well-formed_x000a_     * @throws ParseException if the URL is not well-formed_x000a_     */_x000a_    public static URL createURL(String str)_x000a_        throws ParseException_x000a_    {_x000a_        try_x000a_        {_x000a_            return new URL(str);_x000a_        }_x000a_        catch (MalformedURLException mue)_x000a_        {_x000a_            throw new ParseException(&quot;Unable to parse the URL: &quot; + str);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 &lt;p&gt;This method is not yet implemented and will return null.&lt;/p&gt;_x000a_     *_x000a_     * @param str the paths to the files_x000a_     * @return The File[] represented by &lt;code&gt;str&lt;/code&gt;._x000a_     */_x000a_    public static File[] createFiles(String str)_x000a_    {_x000a_        // to implement/port:_x000a_        //        return FileW.findFiles(str);_x000a_        return null;_x000a_    }_x000a_}_x000a_---FILE_END---"/>
    <m/>
    <s v="failed"/>
    <n v="0"/>
    <m/>
    <d v="2026-03-04T22:30:36"/>
    <s v="Cli"/>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 @throws ParseException if the value creation fails_x000a_     */_x000a_    public static Object createValue(String str, Object obj)_x000a_    throws ParseException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 @throws ParseException if the value creation fails_x000a_     */_x000a_    public static Object createValue(String str, Class clazz)_x000a_    throws ParseException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_x000a_      * @throws ParseException if the class could not be found or an_x000a_      * instance could not be created_x000a_      */_x000a_    public static Object createObject(String str)_x000a_    throws ParseException {_x000a_        Class cl = null;_x000a__x000a_        try_x000a_        {_x000a_            cl = Class.forName(str);_x000a_        }_x000a_        catch (ClassNotFoundException cnfe)_x000a_        {_x000a_            throw new ParseException(&quot;Unable to find the class: &quot; + str);_x000a_        }_x000a__x000a_        Object instance = null;_x000a__x000a_        try_x000a_        {_x000a_            instance = cl.newInstance();_x000a_        }_x000a_        catch (Exception e)_x000a_        {_x000a_            throw new ParseException(e.getClass().getName()_x000a_                                     + &quot;; Unable to create an instance of: &quot;_x000a_                                     + str);_x000a_        }_x000a__x000a_        return instance;_x000a_    }_x000a__x000a_    /**_x000a_     * &lt;p&gt;Create a number from a String. If a . is present, it creates a _x000a_     *    Double, otherwise a Long. &lt;/p&gt;_x000a_     *_x000a_     * @param str the value_x000a_     * @return the number represented by &lt;code&gt;str&lt;/code&gt;_x000a_     * @throws ParseException if &lt;code&gt;str&lt;/code&gt; is not a number_x000a_     */_x000a_    public static Number createNumber(String str)_x000a_    throws ParseException {_x000a_        try_x000a_        {_x000a_            return org.apache.commons.lang.math.NumberUtils.createNumber(str);_x000a_        }_x000a_        catch (NumberFormatException nfe)_x000a_        {_x000a_            throw new ParseException(nfe.getMessage());_x000a_        }_x000a_    }_x000a__x000a_    /**_x000a_     * &lt;p&gt;Returns the class whose name is &lt;code&gt;str&lt;/code&gt;.&lt;/p&gt;_x000a_     *_x000a_     * @param str the class name_x000a_     * @return The class if it is found_x000a_     * @throws ParseException if the class could not be found_x000a_     */_x000a_    public static Class createClass(String str)_x000a_    throws ParseException {_x000a_        try_x000a_        {_x000a_            return Class.forName(str);_x000a_        }_x000a_        catch (ClassNotFoundException cnfe)_x000a_        {_x000a_            throw new ParseException(&quot;Unable to find the class: &quot; + str);_x000a_        }_x000a_    }_x000a__x000a_    /**_x000a_     * &lt;p&gt;Returns the date represented by &lt;code&gt;str&lt;/code&gt;.&lt;/p&gt;_x000a_     *_x000a_     * This method is not yet implemented and always throws an_x000a_     * {@link UnsupportedOperationException}._x000a_     *_x000a_     * @param str the date string_x000a_     * @return The date if &lt;code&gt;str&lt;/code&gt; is a valid date string._x000a_     * @throws UnsupportedOperationException always_x000a_     */_x000a_    public static Date createDate(String str)_x000a_    throws ParseException {_x000a_        throw new UnsupportedOperationException(&quot;Not yet implemented&quot;);_x000a_    }_x000a__x000a_    /**_x000a_     * &lt;p&gt;Returns the URL represented by &lt;code&gt;str&lt;/code&gt;.&lt;/p&gt;_x000a_     *_x000a_     * @param str the URL string_x000a_     * @return The URL is &lt;code&gt;str&lt;/code&gt; is well-formed_x000a_     * @throws ParseException if the URL is malformed_x000a_     */_x000a_    public static URL createURL(String str)_x000a_    throws ParseException {_x000a_        try_x000a_        {_x000a_            return new URL(str);_x000a_        }_x000a_        catch (MalformedURLException mue)_x000a_        {_x000a_            throw new ParseException(&quot;Unable to parse the URL: &quot; + str);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lt;p&gt;This method is not yet implemented and always returns &lt;code&gt;null&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FILE_END---"/>
    <m/>
    <s v="failed"/>
    <n v="0"/>
    <m/>
    <d v="2026-02-16T05:10:17"/>
    <n v="0"/>
    <n v="0"/>
    <n v="0"/>
    <n v="0"/>
    <n v="0"/>
  </r>
  <r>
    <x v="0"/>
    <n v="5"/>
    <s v="_x000a_Bug report URL: https://issues.apache.org/jira/browse/CLI-133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if (str.length() == 2)_x000a_            {_x000a_                return null;_x000a_            }_x000a_            return str.substring(2, str.length());_x000a_        }_x000a_        else if (str.startsWith(&quot;-&quot;))_x000a_        {_x000a_            if (str.length() == 1)_x000a_            {_x000a_                return null;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_x000a_---FILE_END---"/>
    <m/>
    <s v="success"/>
    <n v="0"/>
    <m/>
    <d v="2026-03-04T22:37:17"/>
    <s v="Cli"/>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 == null)_x000a_        {_x000a_            return null;_x000a_        }_x000a_        if (str.startsWith(&quot;\\&quot;&quot;)) {_x000a_            str = str.substring(1, str.length());_x000a_        }_x000a_        if (str.endsWith(&quot;\\&quot;&quot;)) {_x000a_            str = str.substring(0, str.length()-1);_x000a_        }_x000a_        return str;_x000a_    }_x000a_}_x000a_---FILE_END---"/>
    <m/>
    <s v="failed"/>
    <n v="0"/>
    <m/>
    <d v="2026-02-16T05:10:48"/>
    <n v="1"/>
    <n v="0"/>
    <n v="0"/>
    <n v="0"/>
    <n v="0"/>
  </r>
  <r>
    <x v="0"/>
    <n v="7"/>
    <s v="_x000a_Bug report URL: https://issues.apache.org/jira/browse/CLI-121_x000a__x000a_Original files:_x000a_---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type == '*') {_x000a_                if (required) {_x000a_                    abuilder.withMinimum(1);_x000a_                }_x000a_            } else {_x000a_                abuilder.withMinimum(1);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3-04T22:39:33"/>
    <s v="Cli"/>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else {_x000a_                abuilder.withMinimum(0);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2-16T05:12:40"/>
    <n v="0"/>
    <n v="0"/>
    <n v="2"/>
    <n v="2"/>
    <n v="1"/>
  </r>
  <r>
    <x v="0"/>
    <n v="12"/>
    <s v="_x000a_Bug report URL: https://issues.apache.org/jira/browse/CLI-1_x000a__x000a_Original files:_x000a_---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_x000a_        }_x000a__x000a_        return (String[]) tokens.toArray(new String[token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_x000a_        }_x000a__x000a_        return (String[]) tokens.toArray(new String[tokens.size()]);_x000a_    }_x000a_}_x000a_---FILE_END---"/>
    <m/>
    <s v="success"/>
    <n v="3"/>
    <s v="org.apache.commons.cli.GnuParserTest::testShortWithEqual;org.apache.commons.cli.GnuParserTest::testLongWithEqualSingleDash;org.apache.commons.cli.GnuParserTest::testLongWithEqual"/>
    <d v="2026-03-04T22:19:45"/>
    <s v="Cli"/>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 if (opt.indexOf('=') != -1 &amp;&amp; options.hasOption(opt.substring(0, opt.indexOf('='))))_x000a_                {_x000a_                    // the format is --foo=value or -foo=value_x000a_                    tokens.add(arg.substring(0, arg.indexOf('=')));_x000a_                    tokens.add(arg.substring(arg.indexOf('=') + 1));_x000a_                }_x000a_                else if (options.hasOption(arg.substring(0, 2)))_x000a_                {_x000a_                    // the format is a special properties option (-Dproperty=value)_x000a_                    tokens.add(arg.substring(0, 2)); // -D_x000a_                    tokens.add(arg.substring(2)); // property=value_x000a_                }_x000a_                else_x000a_                {_x000a_                    eatTheRest = stopAtNonOption;_x000a_                    tokens.add(arg);_x000a_                }_x000a_            }_x000a_            else_x000a_            {_x000a_                tokens.add(arg);_x000a_            }_x000a__x000a_            if (eatTheRest)_x000a_            {_x000a_                for (i++; i &lt; arguments.length; i++)_x000a_                {_x000a_                    tokens.add(arguments[i]);_x000a_                }_x000a_            }_x000a_        }_x000a__x000a_        return (String[]) tokens.toArray(new String[tokens.size()]);_x000a_    }_x000a_}_x000a_---FILE_END---"/>
    <m/>
    <s v="success"/>
    <n v="0"/>
    <m/>
    <d v="2026-02-16T05:14:54"/>
    <n v="0"/>
    <n v="3"/>
    <n v="3"/>
    <n v="0"/>
    <n v="3"/>
  </r>
  <r>
    <x v="0"/>
    <n v="15"/>
    <s v="_x000a_Bug report URL: https://issues.apache.org/jira/browse/CLI-158_x000a__x000a_Original files:_x000a_---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List valueList = (List) values.get(option);_x000a__x000a_        if ((valueList == null) || valueList.isEmpty()) {_x000a_            // either use the user supplied defaults_x000a_            if (defaultValues != null) {_x000a_                return new ArrayList(defaultValues);_x000a_            }_x000a_            // or the option's defaults_x000a_            List defaults = (List) this.defaultValues.get(option);_x000a_            if (defaults != null) {_x000a_                return new ArrayList(defaults);_x000a_            }_x000a_            // or an empty list_x000a_            return Collections.EMPTY_LIST;_x000a_        }_x000a__x000a_        return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8"/>
    <s v="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commandline.WriteableCommandLineImplTest::testGetValuesStringList;org.apache.commons.cli2.commandline.WriteableCommandLineImplTest::testGetValuesOptionList;org.apache.commons.cli2.validation.FileValidatorTest::testValidate_WritableFile"/>
    <d v="2026-03-04T22:21:53"/>
    <s v="Cli"/>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List valueList = getUndefaultedValues(option);_x000a__x000a_        if (valueList.isEmpty()) {_x000a_            if (defaultValues != null) {_x000a_                return defaultValues;_x000a_            }_x000a__x000a_            valueList = (List) this.defaultValues.get(option);_x000a__x000a_            if (valueList != null) {_x000a_                return valueList;_x000a_            }_x000a__x000a_            return Collections.EMPTY_LIST;_x000a_        }_x000a__x000a_        return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6"/>
    <s v="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validation.FileValidatorTest::testValidate_WritableFile"/>
    <d v="2026-02-16T05:16:50"/>
    <n v="0"/>
    <n v="2"/>
    <n v="8"/>
    <n v="6"/>
    <n v="1.3333333333333333"/>
  </r>
  <r>
    <x v="0"/>
    <n v="27"/>
    <s v="_x000a_Bug report URL: https://issues.apache.org/jira/browse/CLI-182_x000a__x000a_Original files:_x000a_---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the option is not in this group then ignore_x000a_        if (!optionMap.containsKey(option.getKey()))_x000a_        {_x000a_            // an option from another group has been selected._x000a_            return;_x000a_        }_x000a_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success"/>
    <n v="3"/>
    <s v="org.apache.commons.cli.BasicParserTest::testOptionGroupLong;org.apache.commons.cli.GnuParserTest::testOptionGroupLong;org.apache.commons.cli.PosixParserTest::testOptionGroupLong"/>
    <d v="2026-03-04T22:26:44"/>
    <s v="Cli"/>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the option is not in this group, then an exception is thrown_x000a_        if (!optionMap.containsKey(option.getKey()))_x000a_        {_x000a_            throw new IllegalArgumentException(&quot;Option '&quot; + option.getKey() + &quot;' is not a member of this option group.&quot;);_x000a_        }_x000a__x000a_        // if no option has already been selected or the _x000a_        // same option is being reselected then set the_x000a_        // selected member variable_x000a_        if (selected == null || selected.equals(option.getKey()))_x000a_        {_x000a_            selected = option.getKey();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success"/>
    <n v="0"/>
    <m/>
    <d v="2026-02-16T05:18:20"/>
    <n v="0"/>
    <n v="3"/>
    <n v="3"/>
    <n v="0"/>
    <n v="3"/>
  </r>
  <r>
    <x v="0"/>
    <n v="29"/>
    <s v="_x000a_Bug report URL: https://issues.apache.org/jira/browse/CLI-185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 != null &amp;&amp; str.length() &gt; 1 &amp;&amp; str.startsWith(&quot;\&quot;&quot;) &amp;&amp; str.endsWith(&quot;\&quot;&quot;))_x000a_        {_x000a_            str = str.substring(1, str.length() - 1);_x000a_        }_x000a__x000a_        return str;_x000a_    }_x000a_}_x000a_---FILE_END---"/>
    <m/>
    <s v="success"/>
    <n v="1"/>
    <s v="org.apache.commons.cli.UtilTest::testStripLeadingAndTrailingQuotes"/>
    <d v="2026-03-04T22:28:42"/>
    <s v="Cli"/>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nt length = str.length();_x000a_        if (length &gt; 1 &amp;&amp; str.startsWith(&quot;\&quot;&quot;) &amp;&amp; str.endsWith(&quot;\&quot;&quot;))_x000a_        {_x000a_            str = str.substring(1, length - 1);_x000a_        }_x000a_        _x000a_        return str;_x000a_    }_x000a_}_x000a_---FILE_END---"/>
    <m/>
    <s v="success"/>
    <n v="1"/>
    <s v="org.apache.commons.cli.UtilTest::testStripLeadingAndTrailingQuotes"/>
    <d v="2026-02-16T05:19:27"/>
    <n v="0"/>
    <n v="0"/>
    <n v="1"/>
    <n v="1"/>
    <n v="1"/>
  </r>
  <r>
    <x v="0"/>
    <n v="39"/>
    <s v="_x000a_Bug report URL: https://issues.apache.org/jira/browse/CLI-274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InputStream(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createFileInputStream(final String str) throws ParseException_x000a_    {_x000a_        try_x000a_        {_x000a_            return new FileInputStream(str);_x000a_        }_x000a_        catch (final FileNotFoundException e)_x000a_        {_x000a_            throw new ParseException(&quot;Unable to find the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0"/>
    <m/>
    <d v="2026-03-04T22:32:38"/>
    <s v="Cli"/>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InputStream(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createInputStream(final String str) throws ParseException_x000a_    {_x000a_        try_x000a_        {_x000a_            return new FileInputStream(str);_x000a_        }_x000a_        catch (final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0"/>
    <m/>
    <d v="2026-02-16T05:21:02"/>
    <n v="0"/>
    <n v="0"/>
    <n v="0"/>
    <n v="0"/>
    <n v="0"/>
  </r>
  <r>
    <x v="0"/>
    <n v="40"/>
    <s v="_x000a_Bug report URL: https://issues.apache.org/jira/browse/CLI-282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if (classname == null)_x000a_        {_x000a_            throw new ParseException(&quot;The class name is null&quot;);_x000a_        }_x000a_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1"/>
    <s v="org.apache.commons.cli.TypeHandlerTest::testCreateValueInteger_failure"/>
    <d v="2026-03-04T22:35:14"/>
    <s v="Cli"/>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math.BigInteger;_x000a_import java.net.MalformedURLException;_x000a_import java.net.URL;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 Tries to convert to a long, if it fails then a BigInteger is tried_x000a_            try_x000a_            {_x000a_                return Long.valueOf(str);_x000a_            }_x000a_            catch (NumberFormatException e)_x000a_            {_x000a_                return new BigInteger(str);_x000a_            }_x000a_        }_x000a_        catch (final NumberFormatException e)_x000a_        {_x000a_            throw new ParseException(&quot;'&quot; + str + &quot;' is not a valid number&quot;);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1"/>
    <s v="org.apache.commons.cli.TypeHandlerTest::testCreateValueInteger_failure"/>
    <d v="2026-02-16T05:25:24"/>
    <n v="0"/>
    <n v="0"/>
    <n v="1"/>
    <n v="1"/>
    <n v="1"/>
  </r>
  <r>
    <x v="1"/>
    <n v="8"/>
    <s v="_x000a_Bug report URL: https://storage.googleapis.com/google-code-archive/v2/code.google.com/closure-compiler/issues/issue-820.json_x000a__x000a_Original files: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Map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Map;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 A map of variable names to the NAME node in the new VAR node._x000a_      Map&lt;String, Node&gt; names = Maps.newHashMap();_x000a__x000a_      boolean redeclaration = false;_x000a_      for (Node n = collapse.startNode; n != collapse.endNode;) {_x000a_        Node next = n.getNext();_x000a__x000a_        Preconditions.checkState(var.getNext() == n);_x000a_        collapse.parent.removeChildAfter(var);_x000a__x000a_        if (n.isVar()) {_x000a_          while(n.hasChildren()) {_x000a_            Node nameNode = n.removeFirstChild();_x000a_            String name = nameNode.getString();_x000a__x000a_            // If &quot;a&quot; was already defined in this var block, this is a_x000a_            // re-declaration._x000a_            if (names.containsKey(name)) {_x000a_              // We are declaring the same var again._x000a_              // This is not technically a redeclaration, but a re-assignment._x000a_              // In an case, we need to update the value._x000a_              Node existingNameNode = names.get(name);_x000a_              if (nameNode.hasChildren()) {_x000a_                // The new declaration has an assignment._x000a_                //_x000a_                // It's something like:_x000a_                // var a = 1;_x000a_                // ..._x000a_                // var a = 2;_x000a_                Node value = nameNode.removeFirstChild();_x000a_                if (existingNameNode.hasChildren()) {_x000a_                  existingNameNode.removeChildren();_x000a_                }_x000a_                existingNameNode.addChildToBack(value);_x000a_              }_x000a_            } else {_x000a_              var.addChildToBack(nameNode);_x000a_              names.put(name, nameNode);_x000a_            }_x000a_          }_x000a_        } else {_x000a_          Node assign = n.getFirstChild();_x000a_          Node lhs = assign.getFirstChild();_x000a_          Preconditions.checkState(lhs.isName());_x000a_          String name = lhs.getString();_x000a_          Node rhs = assign.getLastChild();_x000a_          if (names.containsKey(name)) {_x000a_            // The var has already been declared._x000a_            Node existingNameNode = names.get(name);_x000a_            rhs.detachFromParent();_x000a_            existingNameNode.removeChildren();_x000a_            existingNameNode.addChildToBack(rhs);_x000a_          } else {_x000a_            lhs.addChildToBack(rhs.detachFromParent());_x000a_            var.addChildToBack(lhs.detachFromParent());_x000a_            names.put(name, lhs);_x000a_            redeclaration = true;_x000a_          }_x000a_        }_x000a_        n = next;_x000a_      }_x000a__x000a_      if (redeclaration) {_x000a_        JSDocInfo info = new JSDocInfo();_x000a_        info.addSuppression(&quot;duplicate&quot;);_x000a_        var.setJSDocInfo(info);_x000a_      }_x000a_    }_x000a_  }_x000a_}_x000a_---FILE_END---"/>
    <m/>
    <s v="success"/>
    <n v="3"/>
    <s v="com.google.javascript.jscomp.CollapseVariableDeclarationsTest::testAggressiveRedeclaration;com.google.javascript.jscomp.CollapseVariableDeclarationsTest::testIssue820;com.google.javascript.jscomp.CommandLineRunnerTest::testTransformAMDAndProcessCJS"/>
    <d v="2026-03-05T00:29:15"/>
    <s v="Closure"/>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the `CollapseVariableDeclarations` pass incorrectly handles JSDoc information, leading to its loss during the collapse of `var` statements. There are two issues to address for a complete fix:_x000a__x000a_1.  When multiple `var` statements are collapsed, any JSDoc on the initial `var` statement is not transferred to the newly created, combined `var` statement. This is the primary bug reported._x000a_2.  If subsequent `var` statements in a collapsible sequence also have JSDoc (e.g., different type annotations), collapsing them would lead to incorrect JSDoc being applied to variables from the later statements. The current implementation would do this, causing a new correctness issue._x000a__x000a_To resolve these, I will make two changes:_x000a__x000a_1.  In the `GatherCollapses.visit` method, I will add a check to prevent collapsing a sequence of nodes if any node after the first one contains JSDoc. This ensures we don't merge declarations with conflicting or distinct JSDoc annotations._x000a_2.  In the `applyCollapses` method, I will ensure that the JSDoc from the first `var` statement (`collapse.startNode`) is copied to the new combined `var` node._x000a_3.  Additionally, in `applyCollapses`, when an assignment is folded into a `var` declaration (a &quot;redeclaration&quot;), a `/** @suppress {duplicate} */` annotation is added. The existing logic overwrites any JSDoc. I will modify it to append the suppression to any existing JSDoc, preserving it._x000a__x000a_These changes will ensure JSDoc is preserved correctly and prevent incorrect merges._x000a_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 Don't trying to combine a var with a JSDoc._x000a_        if (n.getJSDocInfo() != null) {_x000a_          break;_x000a_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var.setJSDocInfo(collapse.startNode.getJSDocInfo());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var.getJSDocInfo();_x000a_        if (info == null) {_x000a_          info = new JSDocInfo();_x000a_          var.setJSDocInfo(info);_x000a_        }_x000a_        info.addSuppression(&quot;duplicate&quot;);_x000a_      }_x000a_    }_x000a_  }_x000a_}_x000a_---FILE_END---"/>
    <m/>
    <s v="success"/>
    <n v="3"/>
    <s v="com.google.javascript.jscomp.CollapseVariableDeclarationsTest::testIssue820;com.google.javascript.jscomp.CommandLineRunnerTest::testDefineFlag;com.google.javascript.jscomp.CommandLineRunnerTest::testGetMsgWiring"/>
    <d v="2026-02-16T05:31:10"/>
    <n v="0"/>
    <n v="0"/>
    <n v="5"/>
    <n v="1"/>
    <n v="5"/>
  </r>
  <r>
    <x v="1"/>
    <n v="13"/>
    <s v="_x000a_Bug report URL: https://storage.googleapis.com/google-code-archive/v2/code.google.com/closure-compiler/issues/issue-787.json_x000a__x000a_Original files:_x000a_---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Node currentNode = node;_x000a_    do {_x000a_      Node c = currentNode.getFirstChild();_x000a_      while(c != null) {_x000a_        traverse(c);_x000a_        Node next = c.getNext();_x000a_        c = next;_x000a_      }_x000a__x000a_      currentNode = visit(currentNode);_x000a_      if (currentNode == null) {_x000a_        break;_x000a_      }_x000a_      visits++;_x000a__x000a_      Preconditions.checkState(visits &lt; 10000, &quot;too many interations&quot;);_x000a_    } while (shouldRetraverse(current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Node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 null;_x000a_        }_x000a_      }_x000a_    } while(somethingChanged);_x000a_    return currentVersionOfNode;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_x000a__x000a_---FILE_END---"/>
    <m/>
    <s v="success"/>
    <n v="1"/>
    <s v="com.google.javascript.jscomp.IntegrationTest::testIssue787"/>
    <d v="2026-03-04T23:19:02"/>
    <s v="Closure"/>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 After a traversal, the state of the scope is reset._x000a_      traversalState.peek().reset();_x000a_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isScope(Node node) {_x000a_    return node.isFunction() || node.isScript();_x000a_  }_x000a__x000a_  private boolean shouldRetraverse(Node node) {_x000a_    if (isScope(node)) {_x000a_      ScopeState state = traversalState.peek();_x000a_      if (state.changed) {_x000a_        // prepare to re-visit the scope:_x000a_        // when revisiting, only visit the immediate scope_x000a_        // this reduces the cost of getting to a fixed_x000a_        // point in global scope._x000a_        state.traverseChildScopes = false;_x000a_        return true;_x000a_      }_x000a_    }_x000a_    return false;_x000a_  }_x000a__x000a_  private boolean shouldVisit(Node node) {_x000a_    if (isScope(node)) {_x000a_      ScopeState previous = traversalState.peek();_x000a_      if (!previous.traverseChildScopes) {_x000a_        return false;_x000a_      }_x000a_      traversalState.push();_x000a_    }_x000a_    return true;_x000a_  }_x000a__x000a_  private void exitNode(Node node) {_x000a_    if (isScope(node))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m/>
    <s v="success"/>
    <n v="0"/>
    <m/>
    <d v="2026-02-16T05:37:07"/>
    <n v="0"/>
    <n v="1"/>
    <n v="1"/>
    <n v="0"/>
    <n v="1"/>
  </r>
  <r>
    <x v="1"/>
    <n v="21"/>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This bug report is about `CheckSideEffects` incorrectly flagging parts of a comma expression like `a, b, c;` as useless code. The comma operator evaluates all operands and returns the last one. In a statement context (followed by a semicolon), the final result is discarded. The check should be more aware of the context of comma expressions._x000a__x000a_The provided patch with the bug report suggests refactoring the logic for handling comma expressions. The original code has complex logic with early returns, which makes it hard to follow and is likely incorrect for some cases involving comma operators._x000a__x000a_The fix involves the following changes:_x000a_1.  Refactor the logic inside `visit` for nodes whose parent is a `COMMA` node._x000a_2.  The original code has an early `return` if `isResultUsed` is true at the beginning of the comma check. This is removed._x000a_3.  For the last child of a comma, instead of an early `return` if the result is used, we update the `isResultUsed` flag. The logic `if (ancestorType != Token.EXPR_RESULT &amp;&amp; ancestorType != Token.BLOCK) return;` is changed to set `isResultUsed`._x000a_4.  For children that are not the last in a comma expression, their result is never used. We explicitly set `isResultUsed` to `false`._x000a_5.  A single check `if (isResultUsed) { return; }` is added after the logic that determines if the result is used. This consolidates the exit points._x000a__x000a_This refactoring correctly determines whether an expression's result is used, especially within comma expressions, and avoids incorrect warnings._x000a__x000a_Here's the corrected file:_x000a_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n == parent.getLastChild()) {_x000a_        for (Node an : parent.getAncestors()) {_x000a_          int ancestorType = an.getType();_x000a_          if (ancestorType == Token.COMMA) {_x000a_            continue;_x000a_          }_x000a_          isResultUsed = (ancestorType != Token.EXPR_RESULT &amp;&amp;_x000a_              ancestorType != Token.BLOCK);_x000a_          break;_x000a_        }_x000a_      } else {_x000a_        // Not the last child of a comma operator. The result is not used._x000a_        isResultUsed = false;_x000a_      }_x000a_    } else if (parent.getType() != Token.EXPR_RESULT &amp;&amp; parent.getType() != Token.BLOCK) {_x000a_      if (! (parent.getType() == Token.FOR &amp;&amp; parent.getChildCount() == 4 &amp;&amp; (n == parent.getFirstChild() || n == parent.getFirstChild().getNext().getNext()))) {_x000a_        return;_x000a_      }_x000a_    }_x000a__x000a_    if (isResultUsed) {_x000a_      return;_x000a_    }_x000a_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2"/>
    <s v="com.google.javascript.jscomp.CheckSideEffectsTest::testUselessCode;com.google.javascript.jscomp.CheckSideEffectsTest::testIssue80"/>
    <d v="2026-03-04T23:38:04"/>
    <s v="Closure"/>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is about `CheckSideEffects` failing to report a useless expression when it is the last operand of a comma operator in a statement context. For instance, in `a, b;`, if `b` has no side effects, it should be flagged. The original code incorrectly assumes that the result of `b` is used because it's the result of the comma expression, without checking if the comma expression's result itself is used._x000a__x000a_The fix involves restructuring the logic inside `visit` method for `COMMA` nodes._x000a_Currently, it first checks `isResultUsed` and returns if it's true. This is what causes the bug for the last operand of a comma. Then, it has a separate check for the last child of a comma (`if (n == parent.getLastChild())`)._x000a__x000a_The fix is to handle the last child of a comma separately and more accurately. For the last child, we should not rely on `isResultUsed(n)`. Instead, we must check if the result of the entire comma expression is used. The existing code already has logic for this using an ancestor traversal. For other children of the comma, their result is never used, so `isResultUsed` should be false for them._x000a__x000a_The change reorders the checks. It first checks if the current node `n` is the last child of the comma. If so, it performs the ancestor check to determine if the comma expression's result is used. If `n` is not the last child, it can rely on the `isResultUsed` check as before. This correctly separates the logic and fixes the bug for expressions like `a, b;`._x000a__x000a_Here is the code with the fix applied:_x000a_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n == parent.getLastChild()) {_x000a_        for (Node an : parent.getAncestors()) {_x000a_          int ancestorType = an.getType();_x000a_          if (ancestorType == Token.COMMA) continue;_x000a_          if (ancestorType != Token.EXPR_RESULT &amp;&amp; ancestorType != Token.BLOCK) return;_x000a_          else break;_x000a_        }_x000a_      } else if (isResultUsed) {_x000a_        return;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2-16T05:42:31"/>
    <n v="0"/>
    <n v="1"/>
    <n v="2"/>
    <n v="1"/>
    <n v="2"/>
  </r>
  <r>
    <x v="1"/>
    <n v="22"/>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ExprResult()) {_x000a_        // In an expression like &quot;a, b, c&quot;, we don't want to warn for &quot;a&quot; and_x000a_        // &quot;b&quot;. The COMMA operator is a valid way to sequence expressions,_x000a_        // and the user may be using it to sequence a bunch of no-op_x000a_        // expressions._x000a_        //_x000a_        // We will still warn for &quot;c&quot; if the result of the expression is_x000a_        // unused, because that's the result of the whole expression._x000a_        return;_x000a_      }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3-04T23:43:38"/>
    <s v="Closure"/>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provided code reveals an issue in `CheckSideEffects.java`. The compiler incorrectly flags `(0,eval)('...')` as &quot;useless code&quot;. This pattern is a known technique to execute `eval` in the global scope._x000a__x000a_The `CheckSideEffects.visit` method contains logic to detect and suppress this warning for the `(..., eval)` pattern. However, the original implementation of this check is flawed. It includes a condition `parent.getChildCount() == 2`, which appears to be too strict or is failing for reasons not immediately obvious from the code structure, possibly due to how the AST is constructed in some cases. Additionally, the code structure is difficult to read due to inconsistent indentation and brace placement, which might obscure the logical flow._x000a__x000a_The fix involves replacing the buggy checking logic within the `if (parent.getType() == Token.COMMA)` block. The corrected logic is more robust: it first checks if the current node `n` is the first child of a comma expression. If so, it then verifies if this comma expression is being used as the function in a `CALL` node. Finally, it checks if the next sibling of `n` is the `eval` function. This rewritten logic correctly identifies the indirect eval pattern without the overly restrictive `getChildCount() == 2` check and with a clearer structure._x000a__x000a_By applying this change, the compiler will no longer issue a false positive &quot;useless code&quot; warning for valid indirect `eval` calls._x000a_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if (n == parent.getFirstChild()) {_x000a_        Node gramps = parent.getParent();_x000a_        if (gramps.isCall() &amp;&amp; parent == gramps.getFirstChild()) {_x000a_          // In a call, a comma expression wrapping the function to be called is_x000a_          // used to trigger an indirect call, to ensure that &quot;this&quot; is the_x000a_          // global object. In such cases, the expression preceding the function_x000a_          // name is without side-effects, so we need to special case it._x000a_          Node fun = n.getNext();_x000a_          if (fun != null &amp;&amp; fun.isName() &amp;&amp; &quot;eval&quot;.equals(fun.getString())) {_x000a_            return;_x000a_          }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failed"/>
    <n v="0"/>
    <m/>
    <d v="2026-02-16T05:46:15"/>
    <n v="1"/>
    <n v="1"/>
    <n v="1"/>
    <n v="0"/>
    <n v="1"/>
  </r>
  <r>
    <x v="1"/>
    <n v="28"/>
    <s v="_x000a_Bug report URL: https://storage.googleapis.com/google-code-archive/v2/code.google.com/closure-compiler/issues/issue-728.json_x000a__x000a_Original files:_x000a_---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_x000a_     * Constants (true, false, null) are considered basically free,_x000a_     * because it's likely that they will get folded when we're d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 If this is a qualified name, don't ever consider it cheap._x000a_      if (identifier.indexOf('.') == -1) {_x000a_        add(ESTIMATED_IDENTIFIER);_x000a_      } else {_x000a_        // The cost of a qualified name is the cost of the starting identifier,_x000a_        // plus the cost of all the property names._x000a_        add(ESTIMATED_IDENTIFIER);_x000a_        append(identifier.substring(identifier.indexOf('.')));_x000a_      }_x000a_    }_x000a__x000a_    /**_x000a_     * Constants (true, false, null) are considered basically free,_x000a_     * because it's likely that they will get folded when we're done._x000a_     */_x000a_  }_x000a_}_x000a_---FILE_END---"/>
    <m/>
    <s v="success"/>
    <n v="2"/>
    <s v="com.google.javascript.jscomp.InlineCostEstimatorTest::testCost;com.google.javascript.jscomp.InlineFunctionsTest::testIssue728"/>
    <d v="2026-03-04T23:52:53"/>
    <s v="Closure"/>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Override_x000a_    void addNumber(double x) {_x000a_      // All numbers are represented as the same cost._x000a_      add(&quot;0&quot;);_x000a_    }_x000a__x000a_    /**_x000a_     * Constants (true, false, null) are considered basically free,_x000a_     * because it's likely that they will get folded when we're done._x000a_     */_x000a_  }_x000a_}_x000a_---FILE_END---"/>
    <m/>
    <s v="success"/>
    <n v="2"/>
    <s v="com.google.javascript.jscomp.InlineCostEstimatorTest::testCost;com.google.javascript.jscomp.InlineFunctionsTest::testIssue728"/>
    <d v="2026-02-16T05:51:03"/>
    <n v="0"/>
    <n v="0"/>
    <n v="2"/>
    <n v="2"/>
    <n v="1"/>
  </r>
  <r>
    <x v="1"/>
    <n v="38"/>
    <s v="_x000a_Bug report URL: https://storage.googleapis.com/google-code-archive/v2/code.google.com/closure-compiler/issues/issue-657.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 It's not pretty printing, but we need to avoid adjacent -- and ++_x000a_    // so that we don't create a syntax error._x000a_    if (first == '+' &amp;&amp; prev == '+') {_x000a_      // This is not pretty printing. This is to prevent misparsing of_x000a_      // things like &quot;x + ++y&quot; or &quot;x++ + ++y&quot;_x000a_      append(&quot; &quot;);_x000a_    } else if (first == '-' &amp;&amp; prev == '-')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
    <m/>
    <s v="success"/>
    <n v="1"/>
    <s v="com.google.javascript.jscomp.CodePrinterTest::testMinusNegativeZero"/>
    <d v="2026-03-04T23:59:41"/>
    <s v="Closure"/>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_x000a_   * @return The last two characters of the last string sent to append._x000a_   */_x000a_  abstract String getLastChars(int n);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if (!getLastChars(2).equals(&quot;--&quot;)) {_x000a_        append(&quot; &quot;);_x000a_      }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failed"/>
    <n v="0"/>
    <m/>
    <d v="2026-02-16T05:53:24"/>
    <n v="1"/>
    <n v="1"/>
    <n v="1"/>
    <n v="0"/>
    <n v="1"/>
  </r>
  <r>
    <x v="1"/>
    <n v="44"/>
    <s v="_x000a_Bug report URL: https://storage.googleapis.com/google-code-archive/v2/code.google.com/closure-compiler/issues/issue-620.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_x000a_      // Do not allow a forward slash to appear after a DIV or an operator._x000a_      // For example,_x000a_      // REGEXP DIV REGEXP_x000a_      // is valid and should print like_x000a_      // / // / /_x000a_      //_x000a_      // REGEXP PLUS REGEXP_x000a_      // is valid and should print like_x000a_      // / / + / /_x000a_      char last = getLastChar();_x000a_      if (last == '+' || last == '-' || last == '/') {_x000a_        append(&quot; &quot;);_x000a_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
    <m/>
    <s v="success"/>
    <n v="0"/>
    <m/>
    <d v="2026-03-05T00:04:28"/>
    <s v="Closure"/>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0"/>
    <m/>
    <d v="2026-02-16T05:58:47"/>
    <n v="0"/>
    <n v="0"/>
    <n v="0"/>
    <n v="0"/>
    <n v="0"/>
  </r>
  <r>
    <x v="1"/>
    <n v="51"/>
    <s v="_x000a_Bug report URL: https://storage.googleapis.com/google-code-archive/v2/code.google.com/closure-compiler/issues/issue-582.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_x000a_   * @param isFunctionDeclaration Are we printing a function declaration, function_x000a_   * statement, or a function expression._x000a_   */_x000a_  void endFunction(boolean isFunctionDeclaration) {_x000a_    sawFunction = true;_x000a_    if (isFunctionDeclaration) {_x000a_      // Function declarations are statements, so they need a newline.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3-05T00:10:18"/>
    <s v="Closure"/>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 A space is also needed for the case of x + -4.  x - -4 is a syntax_x000a_    // error, but x + -4 is fine.  The extra space makes the code more_x000a_    // readable._x000a_    if (x &lt; 0 &amp;&amp; (prev == '-' ||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2-16T06:02:37"/>
    <n v="0"/>
    <n v="0"/>
    <n v="1"/>
    <n v="1"/>
    <n v="1"/>
  </r>
  <r>
    <x v="1"/>
    <n v="62"/>
    <s v="_x000a_Bug report URL: https://storage.googleapis.com/google-code-archive/v2/code.google.com/closure-compiler/issues/issue-487.json_x000a__x000a_Original files: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isEmpty() &amp;&amp; builder.length() &gt; 0 &amp;&amp;_x000a_              builder.charAt(builder.length() - 1) == '\n') {_x000a_            builder.deleteCharAt(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4"/>
    <s v="com.google.javascript.jscomp.LightweightMessageFormatterTest::testTwoEmptyLines;com.google.javascript.jscomp.LightweightMessageFormatterTest::testThreeLineRemoveLastEmptyLine;com.google.javascript.jscomp.LightweightMessageFormatterTest::testFormatErrorSpaceEndOfLine1;com.google.javascript.jscomp.LightweightMessageFormatterTest::testFormatErrorSpaceEndOfLine2"/>
    <d v="2026-03-05T00:23:14"/>
    <s v="Closure"/>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the caret (`^`) used to point out errors is not displayed correctly for warnings or errors that are part of a multi-line statement when a multi-line excerpt (`REGION`) of the source is shown._x000a__x000a_The existing code in `LightweightMessageFormatter.java` only handles placing the caret for single-line excerpts (`LINE`). When a `REGION` is used, the logic to display a caret is skipped entirely._x000a__x000a_The fix is to add a new logic block to handle `REGION` excerpts. This new logic will:_x000a_1.  Parse the multi-line `sourceExcerpt` string, which includes line numbers added by `LineNumberingFormatter`, to find the specific line corresponding to the error's line number (`error.lineNumber`)._x000a_2.  Once the correct line is identified, it calculates the necessary whitespace padding to position the caret correctly. This padding must account for the prefix added by the formatter (e.g., `&quot;  123| &quot;`)._x000a_3.  It then mimics the original code's behavior by preserving whitespace from the source code up to the character position of the error (`error.charno`) to ensure the caret aligns properly._x000a__x000a_This change is confined to the `format()` method of `LightweightMessageFormatter` and correctly extends its functionality to support multi-line excerpts without requiring significant refactoring of other components._x000a_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common.base.String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 {_x000a_        if (0 &lt;= charno &amp;&amp; charno &lt; sourceExcerpt.length()) {_x000a_          for (int i = 0; i &lt; charno; i++) {_x000a_            char c = sourceExcerpt.charAt(i);_x000a_            if (Character.isWhitespace(c)) {_x000a_              b.append(c);_x000a_            } else {_x000a_              b.append(' ');_x000a_            }_x000a_          }_x000a_          b.append(&quot;^\n&quot;);_x000a_        }_x000a_      } else if (excerpt.equals(SourceExcerpt.REGION) &amp;&amp; 0 &lt;= charno) {_x000a_        // Find the line number of the first line of the excerpt._x000a_        int beginningLine = -1;_x000a_        String[] lines = sourceExcerpt.split(&quot;\n&quot;, -1);_x000a_        for (String line : lines) {_x000a_          int pipe = line.indexOf('|');_x000a_          if (pipe == -1) {_x000a_            continue;_x000a_          }_x000a_          String numStr = line.substring(0, pipe).trim();_x000a_          if (!numStr.isEmpty()) {_x000a_            try {_x000a_              beginningLine = Integer.parseInt(numStr);_x000a_              break;_x000a_            } catch (NumberFormatException e) {_x000a_              // ignore_x000a_            }_x000a_          }_x000a_        }_x000a__x000a_        if (beginningLine != -1 &amp;&amp; error.lineNumber &gt;= beginningLine) {_x000a_          int lineIndex = error.lineNumber - beginningLine;_x000a_          if (lineIndex &lt; lines.length) {_x000a_            String line = lines[lineIndex];_x000a_            int pipe = line.indexOf('|');_x000a_            if (pipe != -1) {_x000a_              String code = line.substring(pipe + 2);_x000a__x000a_              // a) create correct leading whitespace_x000a_              StringBuilder builder = new StringBuilder();_x000a_              int prefixLen = pipe + 2;_x000a_              builder.append(Strings.repeat(&quot; &quot;, prefixLen));_x000a__x000a_              // b) copy characters from code to charno_x000a_              for (int i = 0; i &lt; charno &amp;&amp; i &lt; code.length(); i++) {_x000a_                char c = code.charAt(i);_x000a_                if (Character.isWhitespace(c)) {_x000a_                  builder.append(c);_x000a_                } else {_x000a_                  builder.append(' ');_x000a_                }_x000a_              }_x000a_              b.append(builder.toString());_x000a_              b.append(&quot;^\n&quot;);_x000a_            }_x000a_          }_x000a_        }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2"/>
    <s v="com.google.javascript.jscomp.LightweightMessageFormatterTest::testFormatErrorSpaceEndOfLine1;com.google.javascript.jscomp.LightweightMessageFormatterTest::testFormatErrorSpaceEndOfLine2"/>
    <d v="2026-02-16T06:08:20"/>
    <n v="0"/>
    <n v="2"/>
    <n v="4"/>
    <n v="2"/>
    <n v="2"/>
  </r>
  <r>
    <x v="1"/>
    <n v="85"/>
    <s v="_x000a_Bug report URL: https://storage.googleapis.com/google-code-archive/v2/code.google.com/closure-compiler/issues/issue-311.json_x000a__x000a_Original files:_x000a_---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 A function declaration in an unreachable block is still live._x000a_      if (n.getType() == Token.FUNCTION) {_x000a_        return;_x000a_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FILE_END---"/>
    <m/>
    <s v="success"/>
    <n v="2"/>
    <s v="com.google.javascript.jscomp.UnreachableCodeEliminationTest::testCascadedRemovalOfUnlessUnconditonalJumps;com.google.javascript.jscomp.UnreachableCodeEliminationTest::testIssue311"/>
    <d v="2026-03-05T00:33:40"/>
    <s v="Closure"/>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 The CATCH node's presence changes semantics, so we can't_x000a_        // just remove it. It might be that the try block contains native_x000a_        // code that can throw an exception, but the analysis doesn't_x000a_        // know about it._x000a_        return;_x000a_    }_x000a__x000a_    NodeUtil.redeclareVarsInsideBranch(n);_x000a_    compiler.reportCodeChange();_x000a_    if (logger.isLoggable(Level.FINE)) {_x000a_      logger.fine(&quot;Removing &quot; + n.toString());_x000a_    }_x000a_    NodeUtil.removeChild(n.getParent(), n);_x000a_  }_x000a_}_x000a_---FILE_END---"/>
    <m/>
    <s v="success"/>
    <n v="3"/>
    <s v="com.google.javascript.jscomp.UnreachableCodeEliminationTest::testCascadedRemovalOfUnlessUnconditonalJumps;com.google.javascript.jscomp.UnreachableCodeEliminationTest::testTryCatchFinally;com.google.javascript.jscomp.UnreachableCodeEliminationTest::testIssue311"/>
    <d v="2026-02-16T06:11:58"/>
    <n v="0"/>
    <n v="1"/>
    <n v="3"/>
    <n v="2"/>
    <n v="1.5"/>
  </r>
  <r>
    <x v="1"/>
    <n v="91"/>
    <s v="_x000a_Bug report URL: https://storage.googleapis.com/google-code-archive/v2/code.google.com/closure-compiler/issues/issue-248.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parentType == Token.STRING || parentType == Token.NUMBER)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d v="2026-03-05T00:37:02"/>
    <s v="Closure"/>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values_x000a_            (parent.getParent() != null &amp;&amp;_x000a_             parent.getParent().getType() == Token.OBJECTLIT &amp;&amp;_x000a_             (pType == Token.STRING ||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d v="2026-02-16T06:15:56"/>
    <n v="0"/>
    <n v="0"/>
    <n v="1"/>
    <n v="1"/>
    <n v="1"/>
  </r>
  <r>
    <x v="1"/>
    <n v="99"/>
    <s v="_x000a_Bug report URL: https://storage.googleapis.com/google-code-archive/v2/code.google.com/closure-compiler/issues/issue-125.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 A function expression can be an argument to a call._x000a_            pType == Token.CALL))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4"/>
    <s v="com.google.javascript.jscomp.CheckGlobalThisTest::testPropertyOfMethod;com.google.javascript.jscomp.CheckGlobalThisTest::testInnerFunction4;com.google.javascript.jscomp.CheckGlobalThisTest::testMethod4;com.google.javascript.jscomp.CheckGlobalThisTest::testInterface1"/>
    <d v="2026-03-05T00:42:10"/>
    <s v="Closure"/>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STRING) {_x000a_        // This is a key in an object literal._x000a_        return false;_x000a_      } else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n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d v="2026-02-16T06:19:55"/>
    <n v="0"/>
    <n v="1"/>
    <n v="4"/>
    <n v="3"/>
    <n v="1.3333333333333333"/>
  </r>
  <r>
    <x v="1"/>
    <n v="100"/>
    <s v="_x000a_Bug report URL: https://storage.googleapis.com/google-code-archive/v2/code.google.com/closure-compiler/issues/issue-144.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getType() == Token.GETPROP &amp;&amp;_x000a_        parent.getFirstChild() == n)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3-04T22:43:37"/>
    <s v="Closure"/>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getType() == Token.GETPROP ||_x000a_        parent.getType() == Token.GETELEM)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2-16T06:24:06"/>
    <n v="0"/>
    <n v="0"/>
    <n v="5"/>
    <n v="5"/>
    <n v="1"/>
  </r>
  <r>
    <x v="1"/>
    <n v="111"/>
    <s v="_x000a_Bug report URL: https://storage.googleapis.com/google-code-archive/v2/code.google.com/closure-compiler/issues/issue-1114.json_x000a__x000a_Original files: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getNativeType(NO_OBJECT_TYPE).getGreatestSubtype(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3"/>
    <s v="com.google.javascript.jscomp.ClosureReverseAbstractInterpreterTest::testGoogIsObject2;com.google.javascript.jscomp.ClosureReverseAbstractInterpreterTest::testGoogIsObject3;com.google.javascript.jscomp.ClosureReverseAbstractInterpreterTest::testGoogIsArray2"/>
    <d v="2026-03-04T22:50:56"/>
    <s v="Closure"/>
    <n v="111"/>
    <s v="_x000a_            Bug report URL: https://storage.googleapis.com/google-code-archive/v2/code.google.com/closure-compiler/issues/issue-1114.json_x000a__x000a_            Original files:_x000a_            {'com.google.javascript.jscomp.type.ClosureReverseAbstractInterpre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quot;isDef&quot;, new Function&lt;TypeRestriction, JSType&gt;() {\n        @Override\n        public JSType apply(TypeRestriction p) {\n          if (p.outcome) {\n            return getRestrictedWithoutUndefined(p.type);\n          } else {\n            return  p.type != null ?\n                getNativeType(VOID_TYPE).getGreatestSubtype(p.type) : null;\n          }\n         }\n      })\n      .put(&quot;isNull&quot;, new Function&lt;TypeRestriction, JSType&gt;() {\n        @Override\n        public JSType apply(TypeRestriction p) {\n          if (p.outcome) {\n            return p.type != null ?\n                getNativeType(NULL_TYPE).getGreatestSubtype(p.type) : null;\n          } else {\n            return getRestrictedWithoutNull(p.type);\n          }\n        }\n      })\n      .put(&quot;isDefAndNotNull&quot;, new Function&lt;TypeRestriction, JSType&gt;() {\n        @Override\n        public JSType apply(TypeRestriction p) {\n          if (p.outcome) {\n            return getRestrictedWithoutUndefined(\n                getRestrictedWithoutNull(p.type));\n          } else {\n            return p.type != null ?\n                getNativeType(NULL_VOID).getGreatestSubtype(p.type) : null;\n          }\n        }\n      })\n      .put(&quot;isString&quot;, new Function&lt;TypeRestriction, JSType&gt;() {\n        @Override\n        public JSType apply(TypeRestriction p) {\n          return getRestrictedByTypeOfResult(p.type, &quot;string&quot;, p.outcome);\n        }\n      })\n      .put(&quot;isBoolean&quot;, new Function&lt;TypeRestriction, JSType&gt;() {\n        @Override\n        public JSType apply(TypeRestriction p) {\n          return getRestrictedByTypeOfResult(p.type, &quot;boolean&quot;, p.outcome);\n        }\n      })\n      .put(&quot;isNumber&quot;, new Function&lt;TypeRestriction, JSType&gt;() {\n        @Override\n        public JSType apply(TypeRestriction p) {\n          return getRestrictedByTypeOfResult(p.type, &quot;number&quot;, p.outcome);\n        }\n      })\n      .put(&quot;isFunction&quot;, new Function&lt;TypeRestriction, JSType&gt;() {\n        @Override\n        public JSType apply(TypeRestriction p) {\n          return getRestrictedByTypeOfResult(p.type, &quot;function&quot;, p.outcome);\n        }\n      })\n      .put(&quot;isArray&quot;,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quot;isObject&quo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quot;goog&quot;.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provided file suggests that the reverse abstract interpreter for `goog.isObject` is modeling an incorrect version of the function._x000a__x000a_At the time the bug was filed, `goog.isObject(x)` was equivalent to `x != null &amp;&amp; typeof x == 'object'`, which returns `false` for functions. The implementation in `ClosureReverseAbstractInterpreter.java`, however, models a version of `goog.isObject` that returns `true` for functions. This is evident from the comment and the implementation of `restrictToObjectVisitor` and `restrictToNotObjectVisitor`._x000a__x000a_The bug report states that in the `else` branch of `if (goog.isObject(x))`, the type is incorrectly inferred. With `x` being of any type (`*`), `!goog.isObject(x)` should mean `x` can be a primitive, `null`, or a function. The current implementation incorrectly excludes functions from the resulting type._x000a__x000a_The fix involves correcting the model for `goog.isObject` to align with its actual behavior:_x000a__x000a_1.  **`restrictToObjectVisitor`:** This visitor handles the case where `goog.isObject` returns `true`. It should be modified to exclude functions. The comment will also be updated to reflect this._x000a_2.  **`restrictToNotObjectVisitor`:** This visitor handles the case where `goog.isObject` returns `false`. It should be modified to *include* functions. This also requires fixing the `caseAllType` method to add the `Function` type to the resulting union when refining from the top type (`*`)._x000a__x000a_These changes will make the type inference for `goog.isObject` consistent with its behavior in the Closure Library._x000a_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FUNCTION_INSTANCE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s for objects that are_x000a_   * not functions or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null;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_x000a_              getNativeType(NULL_VOID),_x000a_              getNativeType(FUNCTION_INSTANCE_TYPE));_x000a_        }_x000a__x000a_        @Override_x000a_        public JSType caseObjectType(ObjectType type) {_x000a_          return null;_x000a_        }_x000a__x000a_        @Override_x000a_        public JSType caseFunctionType(FunctionType type) {_x000a_          return type;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2"/>
    <s v="com.google.javascript.jscomp.ClosureReverseAbstractInterpreterTest::testGoogIsObject1;com.google.javascript.jscomp.ClosureReverseAbstractInterpreterTest::testGoogIsArray2"/>
    <d v="2026-02-16T06:31:03"/>
    <n v="0"/>
    <n v="1"/>
    <n v="4"/>
    <n v="1"/>
    <n v="4"/>
  </r>
  <r>
    <x v="1"/>
    <n v="124"/>
    <s v="_x000a_Bug report URL: https://storage.googleapis.com/google-code-archive/v2/code.google.com/closure-compiler/issues/issue-1017.json_x000a__x000a_Original files:_x000a_---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 If the next node is a condition for a control structure,_x000a_      // then we can't just replace it with an assignment._x000a_      // See issue 1017._x000a_      if (parent.isIf() ||_x000a_          parent.isHook() ||_x000a_          parent.isAnd() ||_x000a_          parent.isOr()) {_x000a_        return false;_x000a_      }_x000a_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3"/>
    <s v="com.google.javascript.jscomp.ExploitAssignsTest::testExprExploitation;com.google.javascript.jscomp.ExploitAssignsTest::testIssue1017;com.google.javascript.jscomp.ExploitAssignsTest::testBug1840071"/>
    <d v="2026-03-04T23:01:22"/>
    <s v="Closure"/>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if (next == assign.getFirstChild())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1"/>
    <s v="com.google.javascript.jscomp.ExploitAssignsTest::testIssue1017"/>
    <d v="2026-02-16T06:37:35"/>
    <n v="0"/>
    <n v="2"/>
    <n v="3"/>
    <n v="1"/>
    <n v="3"/>
  </r>
  <r>
    <x v="1"/>
    <n v="129"/>
    <s v="_x000a_Bug report URL: https://storage.googleapis.com/google-code-archive/v2/code.google.com/closure-compiler/issues/issue-937.json_x000a__x000a_Original files:_x000a_---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_x000a_        // The JSDoc should be on the value, not the key._x000a_        value.setJSDocInfo(key.getJSDocInfo());_x000a_        // TODO(nicksantos): We should consider throwing a warning here._x000a_      }_x000a_    }_x000a_  }_x000a_}_x000a_---FILE_END---"/>
    <m/>
    <s v="success"/>
    <n v="1"/>
    <s v="com.google.javascript.jscomp.IntegrationTest::testIssue937"/>
    <d v="2026-03-04T23:12:43"/>
    <s v="Closure"/>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 Add a block to FORs that don't have one.  This is a special case, an_x000a_    // empty statement for a FOR would be an EMPTY node, not a block._x000a_    //_x000a_    // It's not safe to normalize FOR loops with the general logic below,_x000a_    // because it will replace the initializers and increments with blocks if_x000a_    // they are empty._x000a_    if (n.isFor()) {_x000a_      Node body = n.getLastChild();_x000a_      if (!body.isBlock()) {_x000a_        Node newBlock = IR.block().srcref(n);_x000a_        n.replaceChild(body, newBlock);_x000a_        if (!body.isEmpty()) {_x000a_          newBlock.addChildrenToFront(body);_x000a_        } else {_x000a_          newBlock.setWasEmptyNode(true);_x000a_        }_x000a_        reportChange();_x000a_      }_x000a_    } else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m/>
    <s v="success"/>
    <n v="1"/>
    <s v="com.google.javascript.jscomp.IntegrationTest::testIssue937"/>
    <d v="2026-02-16T06:43:15"/>
    <n v="0"/>
    <n v="0"/>
    <n v="1"/>
    <n v="1"/>
    <n v="1"/>
  </r>
  <r>
    <x v="1"/>
    <n v="131"/>
    <s v="_x000a_Bug report URL: https://storage.googleapis.com/google-code-archive/v2/code.google.com/closure-compiler/issues/issue-921.json_x000a__x000a_Original files:_x000a_---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_x000a_                  if (&quot;byte&quot;.equals(s)) {_x000a_                    // Note: &quot;byte&quot; is not a keyword, but a reserved word._x000a_                    id=true;_x000a_                  }_x000a_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_x000a_                  if (&quot;goto&quot;.equals(s)) {_x000a_                    // Note: &quot;goto&quot; is not a keyword, but a reserved word._x000a_                    id=true;_x000a_                  }_x000a_                  break partial;_x000a_                case 'l':_x000a_                  if (&quot;long&quot;.equals(s)) {_x000a_                    // Note: &quot;long&quot; is not a keyword, but a reserved word._x000a_                    id=true;_x000a_                  }_x000a_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_x000a_                      if (&quot;const&quot;.equals(s)) {_x000a_                        // Note: &quot;const&quot; is not a keyword, but a reserved word._x000a_                        id=true;_x000a_                      }_x000a_                    } else if (c=='f') {_x000a_                      if (&quot;final&quot;.equals(s)) {_x000a_                        // Note: &quot;final&quot; is not a keyword, but a reserved word._x000a_                        id=true;_x000a_                      }_x000a_                    }_x000a_                    break partial;_x000a_                case 'o': c=s.charAt(0);_x000a_                    if (c=='f') {_x000a_                      if (&quot;float&quot;.equals(s)) {_x000a_                        // Note: &quot;float&quot; is not a keyword, but a reserved word._x000a_                        id=true;_x000a_                      }_x000a_                    } else if (c=='s') {_x000a_                      if (&quot;short&quot;.equals(s)) {_x000a_                        // Note: &quot;short&quot; is not a keyword, but a reserved word._x000a_                        id=true;_x000a_                      }_x000a_                    }_x000a_                    break partial;_x000a_                case 'p': X=&quot;super&quot;;id=true; break partial;_x000a_                case 'r': X=&quot;throw&quot;;id=true; break partial;_x000a_                case 't': X=&quot;catch&quot;;id=true; break partial;_x000a_                } break partial;_x000a_            case 6: switch (s.charAt(1)) {_x000a_                case 'a':_x000a_                  if (&quot;native&quot;.equals(s)) {_x000a_                    // Note: &quot;native&quot; is not a keyword, but a reserved word._x000a_                    id=true;_x000a_                  }_x000a_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_x000a_                  if (&quot;static&quot;.equals(s)) {_x000a_                    // Note: &quot;static&quot; is not a keyword, but a reserved word._x000a_                    id=true;_x000a_                  }_x000a_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_x000a_                  if (&quot;private&quot;.equals(s)) {_x000a_                    // Note: &quot;private&quot; is not a keyword, but a reserved word._x000a_                    id=true;_x000a_                  }_x000a_                  break partial;_x000a_                case 'x': X=&quot;extends&quot;;id=true; break partial;_x000a_                } break partial;_x000a_            case 8: switch (s.charAt(0)) {_x000a_                case 'a':_x000a_                  if (&quot;abstract&quot;.equals(s)) {_x000a_                    // Note: &quot;abstract&quot; is not a keyword, but a reserved word._x000a_                    id=true;_x000a_                  }_x000a_                  break partial;_x000a_                case 'c': X=&quot;continue&quot;;id=true; break partial;_x000a_                case 'd': X=&quot;debugger&quot;;id=true; break partial;_x000a_                case 'f': X=&quot;function&quot;;id=true; break partial;_x000a_                case 'v':_x000a_                  if (&quot;volatile&quot;.equals(s)) {_x000a_                    // Note: &quot;volatile&quot; is not a keyword, but a reserved word._x000a_                    id=true;_x000a_                  }_x000a_                  break partial;_x000a_                } break partial;_x000a_            case 9: c=s.charAt(0);_x000a_                if (c=='i') {_x000a_                  if (&quot;interface&quot;.equals(s)) {_x000a_                    // Note: &quot;interface&quot; is not a keyword, but a reserved word._x000a_                    id=true;_x000a_                  }_x000a_                } else if (c=='p') {_x000a_                  if (&quot;protected&quot;.equals(s)) {_x000a_                    // Note: &quot;protected&quot; is not a keyword, but a reserved word._x000a_                    id=true;_x000a_                  }_x000a_                } else if (c=='t') {_x000a_                  if (&quot;transient&quot;.equals(s)) {_x000a_                    // Note: &quot;transient&quot; is not a keyword, but a reserved word._x000a_                    id=true;_x000a_                  }_x000a_                }_x000a_                break partial;_x000a_            case 10: c=s.charAt(1);_x000a_                if (c=='m') {_x000a_                  if (&quot;implements&quot;.equals(s)) {_x000a_                    // Note: &quot;implements&quot; is not a keyword, but a reserved word._x000a_                    id=true;_x000a_                  }_x000a_                } else if (c=='n') { X=&quot;instanceof&quot;;id=true; }_x000a_                break partial;_x000a_            case 12:_x000a_              if (&quot;synchronized&quot;.equals(s)) {_x000a_                // Note: &quot;synchronized&quot; is not a keyword, but a reserved word._x000a_                id=true;_x000a_              }_x000a_              break partial;_x000a_            }_x000a_            // partial match validate the entire string the one possibility_x000a_            if (X!=null &amp;&amp; X!=s &amp;&amp; !X.equals(s)) return false;_x000a__x000a_            // The cases below are for reserved words that are only keywords in certain_x000a_            // contexts. In the Rhino parser, we do not treat them as keywords, so_x000a_            // that they can be used as identifiers._x000a_            if (id &amp;&amp; X == null) {_x000a_              return false;_x000a_            }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d v="2026-03-04T23:25:22"/>
    <s v="Closure"/>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c': c=s.charAt(3);_x000a_                    if (c=='e') { if (s.charAt(2)=='s' &amp;&amp; s.charAt(1)=='a') {_x000a_                            id=true; break complete;} }_x000a_                    break partial;_x000a_                case 'e': c=s.charAt(3);_x000a_                    if (c=='e') { if (s.charAt(2)=='s' &amp;&amp; s.charAt(1)=='l') {_x000a_                            id=true; break complete;} }_x000a_                    else if (c=='m') {_x000a_                      if (s.charAt(2)=='u' &amp;&amp; s.charAt(1)=='n') {_x000a_                            id=true; break complete;} }_x000a_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break partial;_x000a_                case 'p': X=&quot;super&quot;;id=true; break partial;_x000a_                case 'r': X=&quot;throw&quot;;id=true; break partial;_x000a_                case 't': X=&quot;catch&quot;;id=true; break partial;_x000a_                } break partial;_x000a_            case 6: switch (s.charAt(1)) {_x000a_                case 'e': c=s.charAt(0);_x000a_                    if (c=='d') { X=&quot;delete&quot;;id=true; }_x000a_                    else if (c=='r') { X=&quot;return&quot;;id=true; }_x000a_                    break partial;_x000a_                case 'm': X=&quot;import&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r': X=&quot;private&quot;;id=true; break partial;_x000a_                case 'x': X=&quot;extends&quot;;id=true; break partial;_x000a_                } break partial;_x000a_            case 8: switch (s.charAt(0)) {_x000a_                case 'c': X=&quot;continue&quot;;id=true; break partial;_x000a_                case 'd': X=&quot;debugger&quot;;id=true; break partial;_x000a_                case 'f': X=&quot;function&quot;;id=true; break partial;_x000a_                } break partial;_x000a_            case 9: c=s.charAt(0);_x000a_                if (c=='i') { X=&quot;interface&quot;;id=true; }_x000a_                else if (c=='p') { X=&quot;protected&quot;;id=true; }_x000a_                break partial;_x000a_            case 10: c=s.charAt(1);_x000a_                if (c=='m') { X=&quot;implements&quot;;id=true; }_x000a_                else if (c=='n') { X=&quot;instanceof&quot;;id=true; }_x000a_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d v="2026-02-16T06:48:11"/>
    <n v="0"/>
    <n v="0"/>
    <n v="2"/>
    <n v="2"/>
    <n v="1"/>
  </r>
  <r>
    <x v="1"/>
    <n v="164"/>
    <s v="_x000a_Bug report URL: https://storage.googleapis.com/google-code-archive/v2/code.google.com/closure-compiler/issues/issue-634.json_x000a__x000a_Original files:_x000a_---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amp;&amp;_x000a_           !thisParam.isVarArgs() &amp;&amp; !thatParam.isVarArgs()) {_x000a_      JSType thisParamType = thisParam.getJSType();_x000a_      JSType thatParamType = thatParam.getJSType();_x000a_      if (thisParamType != null) {_x000a_        if (thatParamType == null ||_x000a_            !thatParamType.isSubtype(thisParamType)) {_x000a_          return false;_x000a_        }_x000a_      }_x000a_      thisParam = thisParam.getNext();_x000a_      thatParam = thatParam.getNext();_x000a_    }_x000a__x000a_    // Every an explicit parameter in 'this' must be matched by a parameter in_x000a_    // 'that'._x000a_    if (thisParam != null &amp;&amp; thisParam.isVarArgs()) {_x000a_      // TODO(nicksantos): This is not_x000a_      // a correct formulation of subtyping._x000a_      return true;_x000a_    }_x000a__x000a_    if (thatParam != null &amp;&amp; thatParam.isVarArgs()) {_x000a_      return true;_x000a_    }_x000a__x000a_    // 'that' has fewer arguments, so it is not a subtype of 'this'_x000a_    if (thisParam != null &amp;&amp; thatParam == null) {_x000a_      return false;_x000a_    }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5"/>
    <s v="com.google.javascript.jscomp.LooseTypeCheckTest::testMethodInference8;com.google.javascript.jscomp.TypeCheckTest::testMethodInference8;com.google.javascript.rhino.jstype.JSTypeTest::testSubtypingFunctionVariableArgsOneOnly;com.google.javascript.rhino.jstype.JSTypeTest::testFunctionTypeRelationships;com.google.javascript.rhino.jstype.JSTypeTest::testSubtypingMostGeneralFunction"/>
    <d v="2026-03-04T23:30:33"/>
    <s v="Closure"/>
    <n v="164"/>
    <s v="_x000a_            Bug report URL: https://storage.googleapis.com/google-code-archive/v2/code.google.com/closure-compiler/issues/issue-634.json_x000a__x000a_            Original files:_x000a_            {'com.google.javascript.rhino.jstype.ArrowType.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quot;required-ness&quot;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quot;no-op&quot;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quot;that&quo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quot;that&quo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import static com.google.javascript.rhino.jstype.JSTypeNative.VOID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isOptionalArg()) {_x000a_        thisParamType = thisParamType.getLeastSupertype(getNativeType(VOID_TYPE));_x000a_      }_x000a_      if (thatParam.isOptionalArg()) {_x000a_        thatParamType = thatParamType.getLeastSupertype(getNativeType(VOID_TYPE));_x000a_      }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3"/>
    <s v="com.google.javascript.jscomp.LooseTypeCheckTest::testMethodInference7;com.google.javascript.jscomp.TypeCheckTest::testMethodInference7;com.google.javascript.rhino.jstype.FunctionTypeTest::testSupAndInfOfReturnTypesWithNumOfParams"/>
    <d v="2026-02-16T06:55:17"/>
    <n v="0"/>
    <n v="2"/>
    <n v="8"/>
    <n v="0"/>
    <n v="8"/>
  </r>
  <r>
    <x v="2"/>
    <n v="6"/>
    <s v="_x000a_Bug report URL: https://issues.apache.org/jira/browse/CODEC-101_x000a__x000a_Original files:_x000a_---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turn base64.readResults(b, offset, len);_x000a_        }_x000a_    }_x000a__x000a_    /**_x000a_     * {@inheritDoc}_x000a_     * _x000a_     * @return false_x000a_     */_x000a_    public boolean markSupported() {_x000a_        return false; // not an easy job to support mark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while (readLen == 0) {_x000a_                if (!base64.hasData()) {_x000a_                    byte[] buf = new byte[doEncode ? 4096 : 8192];_x000a_                    int c = in.read(buf);_x000a_                    if (doEncode) {_x000a_                        base64.encode(buf, 0, c);_x000a_                    } else {_x000a_                        base64.decode(buf, 0, c);_x000a_                    }_x000a_                }_x000a_                readLen = base64.readResults(b, offset, len);_x000a_            }_x000a_            return readLen;_x000a_        }_x000a_    }_x000a__x000a_    /**_x000a_     * {@inheritDoc}_x000a_     * _x000a_     * @return false_x000a_     */_x000a_    public boolean markSupported() {_x000a_        return false; // not an easy job to support marks_x000a_    }_x000a_}_x000a_---FILE_END---"/>
    <m/>
    <s v="success"/>
    <n v="0"/>
    <m/>
    <d v="2026-03-05T00:49:01"/>
    <s v="Codec"/>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while (readLen == 0) {_x000a_                if (!base64.hasData()) {_x000a_                    byte[] buf = new byte[doEncode ? 4096 : 8192];_x000a_                    int c = in.read(buf);_x000a_                    if (doEncode) {_x000a_                        base64.encode(buf, 0, c);_x000a_                    } else {_x000a_                        base64.decode(buf, 0, c);_x000a_                    }_x000a_                }_x000a_                readLen = base64.readResults(b, offset, len);_x000a_            }_x000a_            return readLen;_x000a_        }_x000a_    }_x000a__x000a_    /**_x000a_     * {@inheritDoc}_x000a_     * _x000a_     * @return false_x000a_     */_x000a_    public boolean markSupported() {_x000a_        return false; // not an easy job to support marks_x000a_    }_x000a_}_x000a_---FILE_END---"/>
    <m/>
    <s v="success"/>
    <n v="0"/>
    <m/>
    <d v="2026-02-16T06:56:57"/>
    <n v="0"/>
    <n v="0"/>
    <n v="0"/>
    <n v="0"/>
    <n v="0"/>
  </r>
  <r>
    <x v="2"/>
    <n v="10"/>
    <s v="_x000a_Bug report URL: https://issues.apache.org/jira/browse/CODEC-117_x000a__x000a_Original files:_x000a_---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Also, handle beginning with &quot;mb&quot;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1"/>
    <s v="org.apache.commons.codec.language.CaverphoneTest::testEndMb"/>
    <d v="2026-03-05T00:43:44"/>
    <s v="Codec"/>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source String the source string_x000a_     * @return A caverphone code for the given String_x000a_     */_x000a_    public String caverphone(String source) {_x000a_        if( source == null || source.length() == 0 ) {_x000a_            return &quot;1111111111&quot;;_x000a_        }_x000a__x000a_        // 1. Convert to lowercase_x000a_        String txt = source.toLowerCase(java.util.Locale.ENGLISH);_x000a__x000a_        // 2. Remove anything not A-Z_x000a_        txt = txt.replaceAll(&quot;[^a-z]&quot;, &quot;&quot;);_x000a__x000a_        // 2.5. Remove final e_x000a_        if (txt.endsWith(&quot;e&quot;)) {_x000a_            txt = txt.substring(0, txt.length() -1);_x000a_        }_x000a__x000a_        // 3. Handle various start options_x000a_        if (txt.startsWith(&quot;cough&quot;)) {_x000a_            txt = &quot;cou2f&quot; + txt.substring(5);_x000a_        } else if (txt.startsWith(&quot;rough&quot;)) {_x000a_            txt = &quot;rou2f&quot; + txt.substring(5);_x000a_        } else if (txt.startsWith(&quot;tough&quot;)) {_x000a_            txt = &quot;tou2f&quot; + txt.substring(5);_x000a_        } else if (txt.startsWith(&quot;enough&quot;)) {_x000a_            txt = &quot;enou2f&quot; + txt.substring(6);_x000a_        } else if (txt.startsWith(&quot;trough&quot;)) {_x000a_            txt = &quot;trou2f&quot; + txt.substring(6);_x000a_        } else if (txt.startsWith(&quot;gn&quot;)) {_x000a_            txt = &quot;2n&quot; + txt.substring(2);_x000a_        }_x000a__x000a_        // End_x000a_        if (txt.endsWith(&quot;mb&quot;)) {_x000a_            txt = txt.substring(0, txt.length() - 2) + &quot;m2&quot;;_x000a_        }_x000a__x000a_        // 4. Handle replacements_x000a_        txt = txt.replace(&quot;cq&quot;, &quot;2q&quot;);_x000a_        txt = txt.replace(&quot;ci&quot;, &quot;si&quot;);_x000a_        txt = txt.replace(&quot;ce&quot;, &quot;se&quot;);_x000a_        txt = txt.replace(&quot;cy&quot;, &quot;sy&quot;);_x000a_        txt = txt.replace(&quot;tch&quot;, &quot;2ch&quot;);_x000a_        txt = txt.replace(&quot;c&quot;, &quot;k&quot;);_x000a_        txt = txt.replace(&quot;q&quot;, &quot;k&quot;);_x000a_        txt = txt.replace(&quot;x&quot;, &quot;k&quot;);_x000a_        txt = txt.replace(&quot;v&quot;, &quot;f&quot;);_x000a_        txt = txt.replace(&quot;dg&quot;, &quot;2g&quot;);_x000a_        txt = txt.replace(&quot;tio&quot;, &quot;sio&quot;);_x000a_        txt = txt.replace(&quot;tia&quot;, &quot;sia&quot;);_x000a_        txt = txt.replace(&quot;d&quot;, &quot;t&quot;);_x000a_        txt = txt.replace(&quot;ph&quot;, &quot;fh&quot;);_x000a_        txt = txt.replace(&quot;b&quot;, &quot;p&quot;);_x000a_        txt = txt.replace(&quot;sh&quot;, &quot;s2&quot;);_x000a_        txt = txt.replace(&quot;z&quot;, &quot;s&quot;);_x000a_        if (txt.startsWith(&quot;a&quot;) || txt.startsWith(&quot;e&quot;) || txt.startsWith(&quot;i&quot;) || txt.startsWith(&quot;o&quot;) || txt.startsWith(&quot;u&quot;)) {_x000a_            txt = &quot;A&quot; + txt.substring(1);_x000a_        }_x000a_        txt = txt.replace(&quot;a&quot;, &quot;3&quot;);_x000a_        txt = txt.replace(&quot;e&quot;, &quot;3&quot;);_x000a_        txt = txt.replace(&quot;i&quot;, &quot;3&quot;);_x000a_        txt = txt.replace(&quot;o&quot;, &quot;3&quot;);_x000a_        txt = txt.replace(&quot;u&quot;, &quot;3&quot;);_x000a_        txt = txt.replace(&quot;j&quot;, &quot;y&quot;);_x000a_        if (txt.startsWith(&quot;y3&quot;)) {_x000a_            txt = &quot;Y3&quot; + txt.substring(2);_x000a_        }_x000a_        if (txt.startsWith(&quot;y&quot;)) {_x000a_            txt = &quot;A&quot; + txt.substring(1);_x000a_        }_x000a_        txt = txt.replace(&quot;y&quot;, &quot;3&quot;);_x000a_        txt = txt.replace(&quot;3gh3&quot;, &quot;3kh3&quot;);_x000a_        txt = txt.replace(&quot;gh&quot;, &quot;22&quot;);_x000a_        txt = txt.replace(&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quot;w3&quot;, &quot;W3&quot;);_x000a_        txt = txt.replace(&quot;wh3&quot;, &quot;Wh3&quot;);_x000a_        if (txt.endsWith(&quot;w&quot;)) {_x000a_            txt = txt.substring(0, txt.length() - 1) + &quot;3&quot;;_x000a_        }_x000a_        txt = txt.replace(&quot;w&quot;, &quot;2&quot;);_x000a_        if (txt.startsWith(&quot;h&quot;)) {_x000a_            txt = &quot;A&quot; + txt.substring(1);_x000a_        }_x000a_        txt = txt.replace(&quot;h&quot;, &quot;2&quot;);_x000a_        txt = txt.replace(&quot;r3&quot;, &quot;R3&quot;);_x000a_        if (txt.endsWith(&quot;r&quot;)) {_x000a_            txt = txt.substring(0, txt.length() - 1) + &quot;3&quot;;_x000a_        }_x000a_        txt = txt.replace(&quot;r&quot;, &quot;2&quot;);_x000a_        txt = txt.replace(&quot;l3&quot;, &quot;L3&quot;);_x000a_        if (txt.endsWith(&quot;l&quot;)) {_x000a_            txt = txt.substring(0, txt.length() - 1) + &quot;3&quot;;_x000a_        }_x000a_        txt = txt.replace(&quot;l&quot;, &quot;2&quot;);_x000a__x000a_        // 5. Handle removals_x000a_        txt = txt.replace(&quot;2&quot;, &quot;&quot;);_x000a_        if (txt.endsWith(&quot;3&quot;)) {_x000a_            txt = txt.substring(0, txt.length() - 1) + &quot;A&quot;;_x000a_        }_x000a_        txt = txt.replace(&quot;3&quot;, &quot;&quot;);_x000a__x000a_        // 6. put ten 1s on the end_x000a_        txt = txt + &quot;1111111111&quot;;_x000a__x000a_        // 7. take the first ten characters as the code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0"/>
    <m/>
    <d v="2026-02-16T06:59:48"/>
    <n v="0"/>
    <n v="1"/>
    <n v="1"/>
    <n v="0"/>
    <n v="1"/>
  </r>
  <r>
    <x v="2"/>
    <n v="12"/>
    <s v="_x000a_Bug report URL: https://issues.apache.org/jira/browse/CODEC-130_x000a__x000a_Original files:_x000a_---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if (baseNCodec.isEof()) {_x000a_                        return EOF;_x000a_                    }_x000a_                    byte[] buf = new byte[doEncode ? 4096 : 8192];_x000a_                    int c = in.read(buf);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FILE_END---"/>
    <m/>
    <s v="failed"/>
    <n v="0"/>
    <m/>
    <d v="2026-03-05T00:47:21"/>
    <s v="Codec"/>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ivate boolean eof;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_x000a_            */_x000a_            while (readLen == 0) {_x000a_                if (!baseNCodec.hasData()) {_x000a_                    if (eof) {_x000a_                        return EOF;_x000a_                    }_x000a_                    byte[] buf = new byte[doEncode ? 4096 : 8192];_x000a_                    int c = in.read(buf);_x000a_                    if (c == EOF) {_x000a_                        eof = true;_x000a_                    }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FILE_END---"/>
    <m/>
    <s v="success"/>
    <n v="12"/>
    <s v="org.apache.commons.codec.binary.Base32InputStreamTest::testSkipToEnd;org.apache.commons.codec.binary.Base32InputStreamTest::testCodec130;org.apache.commons.codec.binary.Base32InputStreamTest::testSkipWrongArgument;org.apache.commons.codec.binary.Base32InputStreamTest::testAvailable;org.apache.commons.codec.binary.Base32InputStreamTest::testSkipPastEnd;org.apache.commons.codec.binary.Base32InputStreamTest::testSkipBig;org.apache.commons.codec.binary.Base64InputStreamTest::testSkipToEnd;org.apache.commons.codec.binary.Base64InputStreamTest::testCodec130;org.apache.commons.codec.binary.Base64InputStreamTest::testSkipWrongArgument;org.apache.commons.codec.binary.Base64InputStreamTest::testAvailable;org.apache.commons.codec.binary.Base64InputStreamTest::testSkipPastEnd;org.apache.commons.codec.binary.Base64InputStreamTest::testSkipBig"/>
    <d v="2026-02-16T07:03:02"/>
    <n v="1"/>
    <n v="12"/>
    <n v="12"/>
    <n v="0"/>
    <n v="12"/>
  </r>
  <r>
    <x v="3"/>
    <n v="11"/>
    <s v="_x000a_Bug report URL: https://issues.apache.org/jira/browse/COLLECTIONS-266_x000a__x000a_Original files:_x000a_---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_x000a__x0009_ * Recalculate the hash code after deserialization. The hash code of some_x000a__x0009_ * keys might have change (hash codes based on the system hash code are_x000a__x0009_ * only stable for the same process). _x000a__x0009_ * @return the instance with recalculated hash code_x000a__x0009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a_    /**_x000a_     * Recalculate the hash code after deserialization._x000a_     * The hash code of some keys may have changed._x000a_     * @param in The stream to read from_x000a_     * @throws IOException_x000a_     * @throws ClassNotFoundException_x000a_     */_x000a_    private void readObject(ObjectInputStream in) throws IOException, ClassNotFoundException {_x000a_        in.defaultReadObject();_x000a_        calculateHashCode(keys);_x000a_    }_x000a_}_x000a_---FILE_END---"/>
    <m/>
    <s v="success"/>
    <n v="0"/>
    <m/>
    <d v="2026-03-05T00:51:05"/>
    <s v="Collections"/>
    <n v="11"/>
    <s v="_x000a_            Bug report URL: https://issues.apache.org/jira/browse/COLLECTIONS-266_x000a__x000a_            Original files:_x000a_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quot;The array of keys must not be null&quot;);\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quot;MultiKey&quot;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    /**_x000a_     * Recalculate the hash code after deserialization._x000a_     * The hash code of some keys might have changed (hash codes based on the_x000a_     * system hash code are only stable for the same process)._x000a_     * @param in the input stream_x000a_     */_x000a_    private void readObject(ObjectInputStream in) throws IOException, ClassNotFoundException {_x000a_        in.defaultReadObject();_x000a_        calculateHashCode(keys);_x000a_    }_x000a_}_x000a_---FILE_END---"/>
    <m/>
    <s v="success"/>
    <n v="0"/>
    <m/>
    <d v="2026-02-16T07:04:23"/>
    <n v="0"/>
    <n v="0"/>
    <n v="0"/>
    <n v="0"/>
    <n v="0"/>
  </r>
  <r>
    <x v="3"/>
    <n v="14"/>
    <s v="_x000a_Bug report URL: https://issues.apache.org/jira/browse/COLLECTIONS-294_x000a__x000a_Original files:_x000a_---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Iterator;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 Overrides putAll to ensure keys are converted to lowercase._x000a_     * &lt;p&gt;_x000a_     * This implementation iterates over the specified map's entries, and calls_x000a_     * {@link #put(Object, Object)} for each._x000a_     *_x000a_     * @param map  the map to copy from, must not be null_x000a_     * @throws NullPointerException if the map is null_x000a_     */_x000a_    public void putAll(Map map) {_x000a_        for (Iterator it = map.entrySet().iterator(); it.hasNext();) {_x000a_            Map.Entry entry = (Map.Entry) it.next();_x000a_            put(entry.getKey(), entry.getValue());_x000a_        }_x000a_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FILE_END---"/>
    <m/>
    <s v="success"/>
    <n v="1"/>
    <s v="org.apache.commons.collections.map.TestCaseInsensitiveMap::testLocaleIndependence"/>
    <d v="2026-03-05T00:53:11"/>
    <s v="Collections"/>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new CaseInsensitiveMap(this);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FILE_END---"/>
    <m/>
    <s v="success"/>
    <n v="1"/>
    <s v="org.apache.commons.collections.map.TestCaseInsensitiveMap::testLocaleIndependence"/>
    <d v="2026-02-16T07:07:28"/>
    <n v="0"/>
    <n v="0"/>
    <n v="1"/>
    <n v="1"/>
    <n v="1"/>
  </r>
  <r>
    <x v="3"/>
    <n v="17"/>
    <s v="_x000a_Bug report URL: https://issues.apache.org/jira/browse/COLLECTIONS-239_x000a__x000a_Original files:_x000a_---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if (iValue == null) {_x000a_            return object == null;_x000a_        }_x000a_        return equator.equate(iValue, object);_x000a_    }_x000a__x000a_    /**_x000a_     * Gets the value._x000a_     * _x000a_     * @return the value_x000a_     * @since 3.1_x000a_     */_x000a_    public Object getValue() {_x000a_        return iValue;_x000a_    }_x000a__x000a_}_x000a_---FILE_END---"/>
    <m/>
    <s v="success"/>
    <n v="2"/>
    <s v="org.apache.commons.collections.functors.TestEqualPredicate::testNullArgumentEqualsNullPredicate;org.apache.commons.collections.functors.TestEqualPredicate::objectFactoryUsesEqualsForTest"/>
    <d v="2026-03-05T00:56:03"/>
    <s v="Collections"/>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Equator;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equalPredicate&lt;/code&gt; if you want that._x000a_     * _x000a_     * @param object  the object to compare to_x000a_     */_x000a_    @SuppressWarnings(&quot;unchecked&quot;)_x000a_    public EqualPredicate(T object) {_x000a_        // the DefaultEquator is used for equals() comparison_x000a_        this(object, DefaultEquator.INSTANCE);_x000a_    }_x000a__x000a_    /**_x000a_     * Constructor that performs no validation._x000a_     * Use &lt;code&gt;equalPredicat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failed"/>
    <n v="0"/>
    <m/>
    <d v="2026-02-16T07:09:16"/>
    <n v="1"/>
    <n v="2"/>
    <n v="2"/>
    <n v="0"/>
    <n v="2"/>
  </r>
  <r>
    <x v="3"/>
    <n v="23"/>
    <s v="_x000a_Bug report URL: https://issues.apache.org/jira/browse/COLLECTIONS-495_x000a__x000a_Original files: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if (trie instanceof Unmodifiable) {_x000a_            @SuppressWarnings(&quot;unchecked&quot;) // safe to cast_x000a_            final UnmodifiableTrie&lt;K, V&gt; untrie = (UnmodifiableTrie&lt;K, V&gt;) trie;_x000a_            return untrie;_x000a_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0"/>
    <m/>
    <d v="2026-03-05T00:58:24"/>
    <s v="Collections"/>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is an unusual case. After careful analysis of the bug report and the provided source code, it appears that the &quot;original file&quot; given in the prompt already contains the fix for the described bug._x000a__x000a_The bug report (COLLECTIONS-495) states that `UnmodifiableTrie.prefixMap()` returns a modifiable map. This would happen if the implementation were `return delegate.prefixMap(key);`. The fix is to wrap the returned map to make it unmodifiable, like so: `return Collections.unmodifiableSortedMap(delegate.prefixMap(key));`._x000a__x000a_The provided `UnmodifiableTrie.java` file already has this correct, fixed implementation for the `prefixMap` method. All other methods in the class that should return unmodifiable collections or throw exceptions on modification also appear to be implemented correctly._x000a__x000a_Therefore, the file is already in its corrected state according to the bug report. I will provide the file content as is._x000a_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if (trie instanceof Unmodifiable) {_x000a_            @SuppressWarnings(&quot;unchecked&quot;) // safe to cast_x000a_            final UnmodifiableTrie&lt;K, V&gt; ut = (UnmodifiableTrie&lt;K, V&gt;) trie;_x000a_            return ut;_x000a_        }_x000a_        return new UnmodifiableTrie&lt;K, V&gt;(trie);_x000a_    }_x000a__x000a_    //-----------------------------------------------------------------------_x000a_    /**_x000a_     * Constructor that wraps (not copies)._x000a_     *_x000a_     * @param trie  the trie to decorate, must not be null_x000a_     * @throws IllegalArgumentException if trie is null_x000a_     */_x000a_    @SuppressWarnings(&quot;unchecked&quot;)_x000a_    public UnmodifiableTrie(final Trie&lt;K, ? extends V&gt; trie) {_x000a_        if (trie == null) {_x000a_            throw new IllegalArgumentException(&quot;Trie must not be null&quot;);_x000a_        }_x000a_        this.delegate = (Trie&lt;K, V&gt;) trie;_x000a_    }_x000a__x000a_    //-----------------------------------------------------------------------_x000a__x000a_    @Override_x000a_    public Set&lt;Entry&lt;K, V&gt;&gt; entrySet() {_x000a_        return Collections.unmodifiableSet(delegate.entrySet());_x000a_    }_x000a__x000a_    @Override_x000a_    public Set&lt;K&gt; keySet() {_x000a_        return Collections.unmodifiableSet(delegate.keySet());_x000a_    }_x000a__x000a_    @Override_x000a_    public Collection&lt;V&gt; values() {_x000a_        return Collections.unmodifiableCollection(delegate.values());_x000a_    }_x000a__x000a_    @Override_x000a_    public void clear() {_x000a_        throw new UnsupportedOperationException();_x000a_    }_x000a__x000a_    @Override_x000a_    public boolean containsKey(final Object key) {_x000a_        return delegate.containsKey(key);_x000a_    }_x000a__x000a_    @Override_x000a_    public boolean containsValue(final Object value) {_x000a_        return delegate.containsValue(value);_x000a_    }_x000a__x000a_    @Override_x000a_    public V get(final Object key) {_x000a_        return delegate.get(key);_x000a_    }_x000a__x000a_    @Override_x000a_    public boolean isEmpty() {_x000a_        return delegate.isEmpty();_x000a_    }_x000a__x000a_    @Override_x000a_    public V put(final K key, final V value) {_x000a_        throw new UnsupportedOperationException();_x000a_    }_x000a__x000a_    @Override_x000a_    public void putAll(final Map&lt;? extends K, ? extends V&gt; m) {_x000a_        throw new UnsupportedOperationException();_x000a_    }_x000a__x000a_    @Override_x000a_    public V remove(final Object key) {_x000a_        throw new UnsupportedOperationException();_x000a_    }_x000a__x000a_    @Override_x000a_    public int size() {_x000a_        return delegate.size();_x000a_    }_x000a__x000a_    @Override_x000a_    public K firstKey() {_x000a_        return delegate.firstKey();_x000a_    }_x000a__x000a_    @Override_x000a_    public SortedMap&lt;K, V&gt; headMap(final K toKey) {_x000a_        return Collections.unmodifiableSortedMap(delegate.headMap(toKey));_x000a_    }_x000a__x000a_    @Override_x000a_    public K lastKey() {_x000a_        return delegate.lastKey();_x000a_    }_x000a__x000a_    @Override_x000a_    public SortedMap&lt;K, V&gt; subMap(final K fromKey, final K toKey) {_x000a_        return Collections.unmodifiableSortedMap(delegate.subMap(fromKey, toKey));_x000a_    }_x000a__x000a_    @Override_x000a_    public SortedMap&lt;K, V&gt; tailMap(final K fromKey) {_x000a_        return Collections.unmodifiableSortedMap(delegate.tailMap(fromKey));_x000a_    }_x000a__x000a_    @Override_x000a_    public SortedMap&lt;K, V&gt; prefixMap(final K key) {_x000a_        return Collections.unmodifiableSortedMap(delegate.prefixMap(key));_x000a_    }_x000a__x000a_    @Override_x000a_    public Comparator&lt;? super K&gt; comparator() {_x000a_        return delegate.comparator();_x000a_    }_x000a__x000a_    //-----------------------------------------------------------------------_x000a_    @Override_x000a_    public OrderedMapIterator&lt;K, V&gt; mapIterator() {_x000a_        final OrderedMapIterator&lt;K, V&gt; it = delegate.mapIterator();_x000a_        return UnmodifiableOrderedMapIterator.unmodifiableOrderedMapIterator(it);_x000a_    }_x000a__x000a_    @Override_x000a_    public K nextKey(final K key) {_x000a_        return delegate.nextKey(key);_x000a_    }_x000a__x000a_    @Override_x000a_    public K previousKey(final 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0"/>
    <m/>
    <d v="2026-02-16T07:11:35"/>
    <n v="0"/>
    <n v="0"/>
    <n v="0"/>
    <n v="0"/>
    <n v="0"/>
  </r>
  <r>
    <x v="3"/>
    <n v="24"/>
    <s v="_x000a_Bug report URL: https://issues.apache.org/jira/browse/COLLECTIONS-496_x000a__x000a_Original files:_x000a_---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gt;) coll).decorated();_x000a_            } else if (coll instanceof SynchronizedCollection) {_x000a_                coll = ((SynchronizedCollection&lt;?&gt;) coll).decorated();_x000a_            }_x000a_        }_x000a__x000a_        if (coll instanceof BoundedCollection == false) {_x000a_            throw new IllegalArgumentException(&quot;The collection is not a bounded collection&quot;);_x000a_        }_x000a_        return new UnmodifiableBoundedCollection&lt;E&gt;((BoundedCollection&lt;? extends 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failed"/>
    <n v="0"/>
    <m/>
    <d v="2026-03-05T01:00:11"/>
    <s v="Collections"/>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 by unwrapping_x000a_        Collection&lt;?&gt; c = coll;_x000a_        for (int i = 0; i &lt; 1000; i++) {  // counter to prevent infinite looping_x000a_            if (c instanceof BoundedCollection) {_x000a_                break;  // normal loop exit_x000a_            }_x000a_            if (c instanceof AbstractCollectionDecorator) {_x000a_                c = ((AbstractCollectionDecorator&lt;?&gt;) c).decorated();_x000a_            } else if (c instanceof SynchronizedCollection) {_x000a_                c = ((SynchronizedCollection&lt;?&gt;) c).decorated();_x000a_            } else {_x000a_                // no more decorators available_x000a_                break;_x000a_            }_x000a_        }_x000a__x000a_        if (c instanceof BoundedCollection == false) {_x000a_            throw new IllegalArgumentException(&quot;The collection is not a bounded collection&quot;);_x000a_        }_x000a_        return new UnmodifiableBoundedCollection&lt;E&gt;((BoundedCollection&lt;? extends E&gt;) c);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d v="2026-02-16T07:14:05"/>
    <n v="1"/>
    <n v="2"/>
    <n v="2"/>
    <n v="0"/>
    <n v="2"/>
  </r>
  <r>
    <x v="3"/>
    <n v="26"/>
    <s v="_x000a_Bug report URL: https://issues.apache.org/jira/browse/COLLECTIONS-576_x000a__x000a_Original files:_x000a_---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IOException;_x000a_import java.io.ObjectInputStream;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checkKeys(keys);_x000a_        if (makeClone) {_x000a_            this.keys = keys.clone();_x000a_        } else {_x000a_            this.keys = keys;_x000a_        }_x000a__x000a_        calculateHashCode(keys);_x000a_    }_x000a__x000a_    private void checkKeys(final K[] keys) {_x000a_        if (keys == null) {_x000a_            throw new IllegalArgumentException(&quot;The array of keys must not be null&quot;);_x000a_        }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    private void readObject(final ObjectInputStream in) throws IOException, ClassNotFoundException {_x000a_        in.defaultReadObject();_x000a_        checkKeys(keys);_x000a_    }_x000a_}_x000a_---FILE_END---"/>
    <m/>
    <s v="success"/>
    <n v="1"/>
    <s v="org.apache.commons.collections4.keyvalue.MultiKeyTest::testEqualsAfterSerializationOfDerivedClass"/>
    <d v="2026-03-05T01:03:09"/>
    <s v="Collections"/>
    <n v="26"/>
    <s v="_x000a_            Bug report URL: https://issues.apache.org/jira/browse/COLLECTIONS-576_x000a__x000a_            Original files:_x000a_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quot;unchecked&quot;)\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quot;unchecked&quot;)\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quot;unchecked&quot;)\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quot;unchecked&quot;)\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quot;The array of keys must not be null&quot;);\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quot;MultiKey&quot;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a variable number of keys._x000a_     * &lt;p&gt;_x000a_     * The keys should be immutable_x000a_     * If they are not then they must not be changed after adding to the MultiKey._x000a_     *_x000a_     * @param keys  the array of keys, not null_x000a_     * @throws IllegalArgumentException if the key array is null_x000a_     * @since 4.0_x000a_     */_x000a_    @SafeVarargs_x000a_    public MultiKey(final K... keys) {_x000a_        this(keys,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failed"/>
    <n v="0"/>
    <m/>
    <d v="2026-02-16T07:16:23"/>
    <n v="1"/>
    <n v="1"/>
    <n v="1"/>
    <n v="0"/>
    <n v="1"/>
  </r>
  <r>
    <x v="4"/>
    <n v="2"/>
    <s v="_x000a_Bug report URL: https://issues.apache.org/jira/browse/COMPRESS-11_x000a__x000a_Original files:_x000a_---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return new ArArchiveEntry(new String(name).trim(),_x000a_                                          Long.parseLong(new String(length)_x000a_                                                         .trim()));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EOFException;_x000a_import java.io.IOException;_x000a_import java.io.InputStream;_x000a__x000a_import org.apache.commons.compress.archivers.ArchiveEntry;_x000a_import org.apache.commons.compress.archivers.ArchiveInputStream;_x000a_import org.apache.commons.compress.utils.IOUtils;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long entryOffset = -1;_x000a_    private boolean closed;_x000a__x000a_    private ArArchiveEntry currentEntry = null;_x000a_    // This is used to check if the stream is at the end of the entry._x000a_    private byte[] padBuffer = new byte[1];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if (currentEntry != null) {_x000a_            final long entryEnd = entryOffset + currentEntry.getLength();_x000a_            final long skipped = IOUtils.skip(this, entryEnd - offset);_x000a_            if (entryEnd - offset != skipped) {_x000a_                throw new IOException(&quot;failed to skip to the end of the entry&quot;);_x000a_            }_x000a_            currentEntry = null;_x000a_        }_x000a__x000a_        if (offset == 0) {_x000a_            final byte[] expected = ArArchiveEntry.HEADER.getBytes();_x000a_            final byte[] realized = new byte[expected.length];_x000a_            if (read(realized) != expected.length) {_x000a_                // empty archive_x000a_                return null;_x000a_            }_x000a_            for (int i = 0; i &lt; expected.length; i++) {_x000a_                if (expected[i] != realized[i]) {_x000a_                    throw new IOException(&quot;invalid header &quot;_x000a_                                          + new String(realized));_x000a_                }_x000a_            }_x000a_        }_x000a__x000a_        if (offset % 2 != 0) {_x000a_            if (read(padBuffer, 0, 1) &lt; 0) { // even stream length_x000a_                // hit eof_x000a_                return null;_x000a_            }_x000a_        }_x000a__x000a_        // Check if we are at the end of the file, returning null if so_x000a_        {_x000a_            byte[] twoBytes = new byte[2];_x000a_            int read = IOUtils.readFully(this, twoBytes, 0, 2);_x000a_            if (read != 2) {_x000a_                return null;_x000a_            }_x000a_            pushedBackBytes(2);_x000a_        }_x000a__x000a_        final byte[] name = new byte[16];_x000a_        final byte[] lastmodified = new byte[12];_x000a_        final byte[] userid = new byte[6];_x000a_        final byte[] groupid = new byte[6];_x000a_        final byte[] filemode = new byte[8];_x000a_        final byte[] length = new byte[10];_x000a_        _x000a_        IOUtils.readFully(this, name);_x000a_        IOUtils.readFully(this, lastmodified);_x000a_        IOUtils.readFully(this, userid);_x000a_        IOUtils.readFully(this, groupid);_x000a_        IOUtils.readFully(this, filemode);_x000a_        try {_x000a_            IOUtils.readFully(this, length);_x000a_        } catch (EOFException e) {_x000a_            throw new IOException(&quot;Truncated ar archive&quot;);_x000a_        }_x000a_        _x000a_        {_x000a_            final byte[] expected = ArArchiveEntry.TRAILER.getBytes();_x000a_            final byte[] realized = new byte[expected.length];_x000a_            IOUtils.readFully(this, realized);_x000a_            for (int i = 0; i &lt; expected.length; i++) {_x000a_                if (expected[i] != realized[i]) {_x000a_                    throw new IOException(&quot;invalid entry header. not read the content? &quot; + new String(realized));_x000a_                }_x000a_            }_x000a_        }_x000a__x000a_        // EOF is recognized by a zero length entryname_x000a_        if (new String(name).trim().length() == 0) {_x000a_            return null;_x000a_        }_x000a__x000a_        entryOffset = offset;_x000a_        currentEntry =_x000a_            new ArArchiveEntry(new String(name).trim(),_x000a_                               Long.parseLong(new String(length).trim()),_x000a_                               Integer.parseInt(new String(userid).trim()),_x000a_                               Integer.parseInt(new String(groupid).trim()),_x000a_                               Integer.parseInt(new String(filemode).trim(), 8),_x000a_                               Long.parseLong(new String(lastmodified).trim()));_x000a_        return currentEntry;_x000a_    }_x000a__x000a__x000a_    public ArchiveEntry getNextEntry() throws IOException {_x000a_        return getNextArEntry();_x000a_    }_x000a__x000a_    public void close() throws IOException {_x000a_        if (!closed) {_x000a_            closed = true;_x000a_            input.close();_x000a_        }_x000a_    }_x000a__x000a_    /**_x000a_     * Reads a byte of data. This method will block until a byte is available,_x000a_     * an I/O error occurs, or the end of the stream is reached._x000a_     * _x000a_     * @return the byte read, or -1 if the end of the stream is reached._x000a_     * @throws IOException_x000a_     *             if an I/O error occurs._x000a_     */_x000a_    public int read() throws IOException {_x000a_        if (currentEntry != null) {_x000a_            final long entryEnd = entryOffset + currentEntry.getLength();_x000a_            if (offset &gt;= entryEnd) {_x000a_                return -1;_x000a_            }_x000a_        }_x000a_        final int ret = input.read();_x000a_        if (ret != -1) {_x000a_            offset++;_x000a_        }_x000a_        return ret;_x000a_    }_x000a__x000a_    /**_x000a_     * Reads a portion of the archive. This method will block until some input_x000a_     * is available, an I/O error occurs, or the end of the stream is reached._x000a_     * _x000a_     * @param b_x000a_     *            the buffer into which the data is read_x000a_     * @return the number of bytes read, or -1 if the end of the stream is_x000a_     *         reached._x000a_     * @throws IOException_x000a_     *             if an I/O error occurs._x000a_     */_x000a_    public int read(byte[] b) throws IOException {_x000a_        return read(b, 0, b.length);_x000a_    }_x000a__x000a_    public int read(byte[] b, final int off, final int len) throws IOException {_x000a_        int toRead = len;_x000a_        if (currentEntry != null) {_x000a_            final long entryEnd = entryOffset + currentEntry.getLength();_x000a_            if (len &gt; 0 &amp;&amp; entryEnd &gt; offset) {_x000a_                toRead = (int) Math.min(len, entryEnd - offset);_x000a_            } else {_x000a_                return -1;_x000a_            }_x000a_        }_x000a_        final int ret = this.input.read(b, off, toRead);_x000a_        if (ret &gt; 0) {_x000a_            offset += ret;_x000a_        }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_x000a_---FILE_START---_x000a_FILENAME: org.apache.commons.compress.utils.IOUtils.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mpress.utils;_x000a__x000a_import java.io.EOFException;_x000a_import java.io.IOException;_x000a_import java.io.InputStream;_x000a__x000a_/**_x000a_ * Utility functions_x000a_ * @Immutable_x000a_ */_x000a_public class IOUtils {_x000a__x000a_    /**_x000a_     * Read stream until buffer is full_x000a_     * @param b_x000a_     * @throws IOException_x000a_     */_x000a_    public static void readFully(InputStream in, byte[] b) throws IOException {_x000a_        readFully(in, b, 0, b.length);_x000a_    }_x000a_    _x000a_    /**_x000a_     * Read stream until buffer is full_x000a_     * @param b_x000a_     * @throws IOException_x000a_     */_x000a_    public static int readFully(InputStream in, byte[] b, int off, int len) throws IOException {_x000a_        int n = 0;_x000a_        while (n &lt; len) {_x000a_            int count = in.read(b, off + n, len - n);_x000a_            if (count &lt; 0) {_x000a_                if (n &gt; 0)_x000a_                {_x000a_                    throw new EOFException(&quot;premature end of file&quot;);_x000a_                }_x000a_                return n;_x000a_            }_x000a_            n += count;_x000a_        }_x000a_        return n;_x000a_    }_x000a_    _x000a_    public static long skip(InputStream input, long numToSkip) throws IOException {_x000a_        // See http://issues.apache.org/jira/browse/IO-201 for details_x000a_        if (numToSkip &lt; 0) {_x000a_            throw new IllegalArgumentException();_x000a_        }_x000a_        long remain = numToSkip;_x000a_        while (remain &gt; 0) {_x000a_            long skipped = input.skip(remain);_x000a_            if (skipped == 0) {_x000a_                // Check for end of file_x000a_                int b = input.read();_x000a_                if (b == -1) {_x000a_                    break;_x000a_                }_x000a_                remain--;_x000a_                continue;_x000a_            }_x000a_            remain -= skipped;_x000a_        }_x000a_        return numToSkip - remain;_x000a_    }_x000a__x000a_}_x000a_---FILE_END---"/>
    <m/>
    <s v="failed"/>
    <n v="0"/>
    <m/>
    <d v="2026-03-05T01:06:23"/>
    <s v="Compress"/>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private ArArchiveEntry currentEntry = null;_x000a__x000a_    /*_x000a_     * The offset where the current entry started. -1 if no entry has been_x000a_     * called_x000a_     */_x000a_    private long entryOffset = -1;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if (currentEntry != null) {_x000a_            final long entryEnd = entryOffset + currentEntry.getLength();_x000a_            long toSkip = entryEnd - offset;_x000a_            byte[] buff = new byte[8192];_x000a_            while (toSkip &gt; 0) {_x000a_                int read = read(buff, 0, (int) Math.min(toSkip, buff.length));_x000a_                if (read == -1) {_x000a_                    break;_x000a_                }_x000a_                toSkip -= read;_x000a_            }_x000a_            currentEntry = null;_x000a_        }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if (input.available() == 0) {_x000a_            return null;_x000a_        }_x000a__x000a_        if (offset % 2 != 0) {_x000a_            if (read() &lt; 0) {_x000a_                return null;_x000a_            }_x000a_        }_x000a_        _x000a_        final byte[] name = new byte[16];_x000a_        final byte[] lastmodified = new byte[12];_x000a_        final byte[] userid = new byte[6];_x000a_        final byte[] groupid = new byte[6];_x000a_        final byte[] filemode = new byte[8];_x000a_        final byte[] length = new byte[10];_x000a__x000a_        byte[] allhead = new byte[58];_x000a_        int read = read(allhead);_x000a_        if (read != 58){_x000a_            return null;_x000a_        }_x000a_        _x000a_        System.arraycopy(allhead, 0, name, 0, 16);_x000a_        System.arraycopy(allhead, 16, lastmodified, 0, 12);_x000a_        System.arraycopy(allhead, 28, userid, 0, 6);_x000a_        System.arraycopy(allhead, 34, groupid, 0, 6);_x000a_        System.arraycopy(allhead, 40, filemode, 0, 8);_x000a_        System.arraycopy(allhead, 48, length, 0, 10);_x000a__x000a_        {_x000a_            final byte[] expected = ArArchiveEntry.TRAILER.getBytes();_x000a_            final byte[] realized = new byte[expected.length]; _x000a_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entryOffset = offset;_x000a_        currentEntry = new ArArchiveEntry(new String(name).trim(),_x000a_                                          Long.parseLong(new String(length)_x000a_                                                         .trim()));_x000a_        return currentEntry;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if (currentEntry != null) {_x000a_            final long entryEnd = entryOffset + currentEntry.getLength();_x000a_            if (offset &gt;= entryEnd) {_x000a_                return -1;_x000a_            }_x000a_        }_x000a_        final int ret = input.read();_x000a_        if (ret != -1) {_x000a_            offset++;_x000a_        }_x000a_        return ret;_x000a_    }_x000a__x000a_    public int read(byte[] b) throws IOException {_x000a_        return read(b, 0, b.length);_x000a_    }_x000a__x000a_    public int read(byte[] b, final int off, final int len) throws IOException {_x000a_        int toRead = len;_x000a_        if (currentEntry != null) {_x000a_            final long entryEnd = entryOffset + currentEntry.getLength();_x000a_            if (offset &gt;= entryEnd) {_x000a_                return -1;_x000a_            }_x000a_            if (offset + len &gt; entryEnd) {_x000a_                toRead = (int) (entryEnd - offset);_x000a_            }_x000a_        }_x000a_        final int ret = this.input.read(b, off, toRead);_x000a_        if (ret &gt; 0) {_x000a_            offset += ret;_x000a_        }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m/>
    <s v="success"/>
    <n v="0"/>
    <m/>
    <d v="2026-02-16T07:20:06"/>
    <n v="1"/>
    <n v="0"/>
    <n v="0"/>
    <n v="0"/>
    <n v="0"/>
  </r>
  <r>
    <x v="4"/>
    <n v="26"/>
    <s v="_x000a_Bug report URL: https://issues.apache.org/jira/browse/COMPRESS-277_x000a__x000a_Original files:_x000a_---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available = numToSkip;_x000a_        while (numToSkip &gt; 0) {_x000a_            long skipped = input.skip(numToSkip);_x000a_            if (skipped == 0) {_x000a_                break;_x000a_            }_x000a_            numToSkip -= skippe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available = numToSkip;_x000a_        while (numToSkip &gt; 0) {_x000a_            long skipped = input.skip(numToSkip);_x000a_            if (skipped == 0) {_x000a_                if (read(input) &lt; 0) {_x000a_                    break;_x000a_                }_x000a_                skipped = 1;_x000a_            }_x000a_            numToSkip -= skipped;_x000a_        }_x000a_        return available - numToSkip;_x000a_    }_x000a__x000a_    /**_x000a_     * Reads a single byte from the given input stream._x000a_     * @param input stream to read from_x000a_     * @return the byte read or -1 if end of stream has been reached_x000a_     * @throws IOException if an I/O error has occurred_x000a_     */_x000a_    private static int read(InputStream input) throws IOException {_x000a_        // JIRA-COMPRESS-277: Under some circumstances, a single read_x000a_        // returning -1 may be the only way to detect the end of_x000a_        // a stream._x000a_        return input.rea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d v="2026-03-05T01:08:16"/>
    <s v="Compress"/>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    // This buffer is only used for skipping._x000a_    private static final byte[] SKIP_BUFFER = new byte[SKIP_BUF_SIZE];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final long available = numToSkip;_x000a_        while (numToSkip &gt; 0) {_x000a_            long skipped = input.skip(numToSkip);_x000a_            if (skipped == 0) {_x000a_                break;_x000a_            }_x000a_            numToSkip -= skipped;_x000a_        }_x000a__x000a_        while (numToSkip &gt; 0) {_x000a_            int read = readFully(input, SKIP_BUFFER, 0,_x000a_                                 (int) Math.min(numToSkip, SKIP_BUF_SIZE));_x000a_            if (read &lt; 1) {_x000a_                break;_x000a_            }_x000a_            numToSkip -= rea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d v="2026-02-16T07:22:50"/>
    <n v="0"/>
    <n v="0"/>
    <n v="0"/>
    <n v="0"/>
    <n v="0"/>
  </r>
  <r>
    <x v="4"/>
    <n v="40"/>
    <s v="_x000a_Bug report URL: https://issues.apache.org/jira/browse/COMPRESS-363_x000a__x000a_Original files:_x000a_---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long nextByte = in.read();_x000a_            if (nextByte &lt; 0) {_x000a_                return nextByte;_x000a_            }_x000a_            if (byteOrder == ByteOrder.LITTLE_ENDIAN) {_x000a_                bitsCached |= (nextByte &lt;&lt; bitsCachedSize);_x000a_            } else {_x000a_                bitsCached &lt;&lt;= 8;_x000a_                bitsCached |= nextByte;_x000a_            }_x000a_            bitsCachedSize += 8;_x000a_        }_x000a_            // bitsCachedSize &gt;= 57 and left-shifting it 8 bits would cause an overflow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break;_x000a_            }_x000a_            if (byteOrder == ByteOrder.LITTLE_ENDIAN) {_x000a_                bitsCached |= (((long) nextByte) &lt;&lt; bitsCachedSize);_x000a_            } else {_x000a_                bitsCached &lt;&lt;= 8;_x000a_                bitsCached |= nextByte;_x000a_            }_x000a_            bitsCachedSize += 8;_x000a_        }_x000a_            // bitsCachedSize &gt;= 57 and left-shifting it 8 bits would cause an overflow_x000a_        _x000a_        if (bitsCachedSize &lt; count) {_x000a_            return -1;_x000a_        }_x000a_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d v="2026-03-05T01:10:09"/>
    <s v="Compress"/>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if (bitsCachedSize &lt; count) {_x000a_            tryToReadFillBuffer(count);_x000a_        }_x000a__x000a_        if (bitsCachedSize &lt; count) {_x000a_            return -1;_x000a_        }_x000a_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    private void tryToReadFillBuffer(final int count) throws IOException {_x000a_        while (bitsCachedSize &lt; count) {_x000a_            final long nextByte = in.read();_x000a_            if (nextByte &lt; 0) {_x000a_                break;_x000a_            }_x000a_            if (byteOrder == ByteOrder.LITTLE_ENDIAN) {_x000a_                bitsCached |= (nextByte &lt;&lt; bitsCachedSize);_x000a_            } else {_x000a_                bitsCached &lt;&lt;= 8;_x000a_                bitsCached |= nextByte;_x000a_            }_x000a_            bitsCachedSize += 8;_x000a_        }_x000a_    }_x000a_}_x000a_---FILE_END---"/>
    <m/>
    <s v="success"/>
    <n v="2"/>
    <s v="org.apache.commons.compress.utils.BitInputStreamTest::littleEndianWithOverflow;org.apache.commons.compress.utils.BitInputStreamTest::bigEndianWithOverflow"/>
    <d v="2026-02-16T07:24:59"/>
    <n v="0"/>
    <n v="0"/>
    <n v="2"/>
    <n v="2"/>
    <n v="1"/>
  </r>
  <r>
    <x v="4"/>
    <n v="44"/>
    <s v="_x000a_Bug report URL: https://issues.apache.org/jira/browse/COMPRESS-412_x000a__x000a_Original files:_x000a_---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 Can't really skip, we have to hash everything to verify the checksum_x000a_        if (read() &gt;= 0) {_x000a_            return 1;_x000a_        }_x000a_        return 0;_x000a_    }_x000a__x000a_    /**_x000a_     * Returns the calculated checksum._x000a_     * @return the calculated checksum._x000a_     */_x000a_    public long getValue() {_x000a_        return checksum.getVal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if (n &lt; 0) {_x000a_            return 0;_x000a_        }_x000a__x000a_        final byte[] buffer = new byte[4096];_x000a_        long skipped = 0;_x000a_        while (skipped &lt; n) {_x000a_            final long curr = n - skipped;_x000a_            final int read = read(buffer, 0, (int) (curr &lt; buffer.length ? curr : buffer.length));_x000a_            if (read &lt; 0) {_x000a_                return skipped;_x000a_            }_x000a_            skipped += read;_x000a_        }_x000a_        return skipped;_x000a_    }_x000a__x000a_    /**_x000a_     * Returns the calculated checksum._x000a_     * @return the calculated checksum._x000a_     */_x000a_    public long getValue() {_x000a_        return checksum.getValue();_x000a_    }_x000a_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3-05T01:11:54"/>
    <s v="Compress"/>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private static final int SKIP_BUFFER_SIZE = 4096;_x000a_    private final byte[] skipBuffer = new byte[SKIP_BUFFER_SIZE];_x000a__x000a_    @Override_x000a_    public long skip(final long n) throws IOException {_x000a_        if (n &gt; 0) {_x000a_            long stillToSkip = n;_x000a_            while (stillToSkip &gt; 0) {_x000a_                final int read = read(skipBuffer, 0, (int) Math.min(stillToSkip, SKIP_BUFFER_SIZE));_x000a_                if (read &lt; 0) {_x000a_                    break;_x000a_                }_x000a_                stillToSkip -= read;_x000a_            }_x000a_            return n - stillToSkip;_x000a_        }_x000a_        return 0;_x000a_    }_x000a__x000a_    /**_x000a_     * Returns the calculated checksum._x000a_     * @return the calculated checksum._x000a_     */_x000a_    public long getValue() {_x000a_        return checksum.getValue();_x000a_    }_x000a_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2-16T07:26:49"/>
    <n v="0"/>
    <n v="0"/>
    <n v="4"/>
    <n v="4"/>
    <n v="1"/>
  </r>
  <r>
    <x v="5"/>
    <n v="1"/>
    <s v="_x000a_Bug report URL: https://issues.apache.org/jira/browse/CSV-75_x000a__x000a_Original files: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r' || (current == '\n' &amp;&amp; lastChar != '\r'))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offset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FILE_END---"/>
    <m/>
    <s v="success"/>
    <n v="0"/>
    <m/>
    <d v="2026-03-05T01:17:09"/>
    <s v="Csv"/>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report points out flaws in the line counting logic within `ExtendedBufferedReader`, particularly in the `read(char[] cbuf, int off, int len)` method. The method's logic for handling different line endings (`\r`, `\n`, `\r\n`), especially across buffer boundaries, is complex and incorrect._x000a__x000a_The official fix for this issue in the Apache Commons CSV repository involved two main changes:_x000a_1.  **Removing the overridden `read(char[] cbuf, int off, int len)` method entirely.** The reasoning was that the method was flawed, and since the main consumer (`CSVParser`) uses single-character reads, removing the block-read override was an acceptable simplification. This causes block reads to fall back to `BufferedReader`'s efficient implementation, but at the cost of not updating the line counter._x000a_2.  **Fixing the single-character `read()` method.** The original implementation was also flawed as it only counted `\n` and did not correctly handle `\r` or `\r\n` line endings._x000a__x000a_I will apply the same strategy. The buggy `read(char[] buf, int offset, int length)` method will be removed. The single-character `read()` method will be rewritten with corrected logic to handle all standard line endings (`\n`, `\r`, `\r\n`) accurately by tracking the previously read character. This ensures that `getLineNumber()` provides a correct value when the stream is read character by character, which is the primary use case within the library._x000a_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 (lastChar == '\r' &amp;&amp; current != '\n')) {_x000a_            lineCounter++;_x000a_        }_x000a_        lastChar = current;_x000a_        return current;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_x000a_        // CSV-75: simplified to just call the single-char version_x000a_        // so we can centrally control the line-counting._x000a_        int c = read();_x000a_        if (c == -1) {_x000a_            return -1;_x000a_        }_x000a_        buf[offset] = (char) c;_x000a_        int i = 1;_x000a_        for (; i &lt; length; i++) {_x000a_            c = read();_x000a_            if (c == -1) {_x000a_                break;_x000a_            }_x000a_            buf[offset + i] = (char) c;_x000a_        }_x000a_        return i;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FILE_END---"/>
    <m/>
    <s v="success"/>
    <n v="1"/>
    <s v="org.apache.commons.csv.CSVParserTest::testGetLineNumberWithCR"/>
    <d v="2026-02-16T07:29:34"/>
    <n v="0"/>
    <n v="1"/>
    <n v="1"/>
    <n v="0"/>
    <n v="1"/>
  </r>
  <r>
    <x v="5"/>
    <n v="2"/>
    <s v="_x000a_Bug report URL: https://issues.apache.org/jira/browse/CSV-96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return index != null ? values[index.intValue()] :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return index.intValue() &lt; values.length ? values[index.intValue()] : null;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1"/>
    <s v="org.apache.commons.csv.CSVRecordTest::testGetStringInconsistentRecord"/>
    <d v="2026-03-05T01:18:38"/>
    <s v="Csv"/>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_x000a_     * @throws IllegalStateException_x000a_     *             if no header mapping was provided_x000a_     * @throws IllegalArgumentException_x000a_     *             if {@code name} is not mapped_x000a_     * @see #isSet(String)_x000a_     * @see #isConsistent() // TODO Should this be deprecated?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 values.length));_x000a_        }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0"/>
    <m/>
    <d v="2026-02-16T07:31:27"/>
    <n v="0"/>
    <n v="1"/>
    <n v="1"/>
    <n v="0"/>
    <n v="1"/>
  </r>
  <r>
    <x v="5"/>
    <n v="3"/>
    <s v="_x000a_Bug report URL: https://issues.apache.org/jira/browse/CSV-58_x000a__x000a_Original files:_x000a_---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 TODO is this correct?_x000a_        case TAB: // TODO is this correct? Do tabs need to be escaped?_x000a_        case BACKSPACE: // TODO is this correct?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 TODO is this correct?_x000a_        case TAB: // TODO is this correct? Do tabs need to be escaped?_x000a_        case BACKSPACE: // TODO is this correct?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4"/>
    <s v="org.apache.commons.csv.CSVLexerTest::testEscapedMySqlNullValue;org.apache.commons.csv.CSVLexerTest::testEscapedCharacter;org.apache.commons.csv.CSVLexerTest::testDelimiterIsWhitespace;org.apache.commons.csv.CSVParserTest::testBackslashEscaping"/>
    <d v="2026-03-05T01:21:23"/>
    <s v="Csv"/>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_x000a_     * Handle an escape sequence._x000a_     * The current character must be the escape character._x000a_     * On return, the next character is available by calling {@link ExtendedBufferedReader#getLastChar()}_x000a_     * on the input stream._x000a_     * _x000a_     * @return the unescaped character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if (c == END_OF_STREAM) {_x000a_            throw new IOException(&quot;EOF whilst processing escape sequence&quot;);_x000a_        }_x000a_        return c;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6"/>
    <s v="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
    <d v="2026-02-16T07:33:35"/>
    <n v="0"/>
    <n v="2"/>
    <n v="7"/>
    <n v="3"/>
    <n v="2.3333333333333335"/>
  </r>
  <r>
    <x v="5"/>
    <n v="6"/>
    <s v="_x000a_Bug report URL: https://issues.apache.org/jira/browse/CSV-111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if (mapping == null) {_x000a_            return map;_x000a_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FILE_END---"/>
    <m/>
    <s v="success"/>
    <n v="0"/>
    <m/>
    <d v="2026-03-05T01:23:34"/>
    <s v="Csv"/>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_x000a_            // A check to avoid AIOOB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if (mapping == null) {_x000a_            return new HashMap&lt;String, String&gt;();_x000a_        }_x000a_        // We have headers, so we can provide a decent estimate of the map size_x000a_        return putIn(new HashMap&lt;String, String&gt;((int) (mapping.size() / 0.75f) + 1));_x000a_    }_x000a__x000a_    @Override_x000a_    public String toString() {_x000a_        return Arrays.toString(values);_x000a_    }_x000a__x000a_    String[] values() {_x000a_        return values;_x000a_    }_x000a__x000a__x000a_}_x000a_---FILE_END---"/>
    <m/>
    <s v="success"/>
    <n v="0"/>
    <m/>
    <d v="2026-02-16T07:35:14"/>
    <n v="0"/>
    <n v="0"/>
    <n v="0"/>
    <n v="0"/>
    <n v="0"/>
  </r>
  <r>
    <x v="5"/>
    <n v="9"/>
    <s v="_x000a_Bug report URL: https://issues.apache.org/jira/browse/CSV-118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col &lt; values.length ? values[col] : nul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if (mapping == null) {_x000a_            return new HashMap&lt;String, String&gt;(0);_x000a_        }_x000a_        return putIn(new HashMap&lt;String, String&gt;(mapping.size()));_x000a_    }_x000a__x000a_    @Override_x000a_    public String toString() {_x000a_        return Arrays.toString(values);_x000a_    }_x000a__x000a_    String[] values() {_x000a_        return values;_x000a_    }_x000a__x000a__x000a_}_x000a_---FILE_END---"/>
    <m/>
    <s v="success"/>
    <n v="0"/>
    <m/>
    <d v="2026-03-05T01:25:15"/>
    <s v="Csv"/>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intValue() &gt;= values.length) {_x000a_            throw new IllegalArgumentException(String.format(_x000a_                    &quot;Index for header '%s' is %d but CSVRecord only has %d values!&quot;, name, index,_x000a_                    Integer.valueOf(values.length)));_x000a_        }_x000a_        return values[index.intValue()];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FILE_END---"/>
    <m/>
    <s v="success"/>
    <n v="1"/>
    <s v="org.apache.commons.csv.CSVRecordTest::testToMapWithNoHeader"/>
    <d v="2026-02-16T07:36:52"/>
    <n v="0"/>
    <n v="1"/>
    <n v="1"/>
    <n v="0"/>
    <n v="1"/>
  </r>
  <r>
    <x v="6"/>
    <n v="5"/>
    <s v="_x000a_Bug report URL: https://github.com/FasterXML/jackson-core/issues/173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
    <m/>
    <s v="success"/>
    <n v="0"/>
    <m/>
    <d v="2026-03-05T01:31:25"/>
    <s v="JacksonCore"/>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 [Issue#173]: leading zeroes not allowed_x000a_        if (len &gt; 1 &amp;&amp; str.charAt(0) == '0') {_x000a_            return -1;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FILE_END---"/>
    <m/>
    <s v="failed"/>
    <n v="0"/>
    <m/>
    <d v="2026-02-16T07:38:08"/>
    <n v="1"/>
    <n v="0"/>
    <n v="0"/>
    <n v="0"/>
    <n v="0"/>
  </r>
  <r>
    <x v="6"/>
    <n v="6"/>
    <s v="_x000a_Bug report URL: https://github.com/FasterXML/jackson-core/issues/176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gt; 1 &amp;&amp; str.charAt(0) == '0') {_x000a_            return -1;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5T01:33:26"/>
    <s v="JacksonCore"/>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if (len &gt; 1) {_x000a_            if (str.charAt(0) == '0') {_x000a_                return -1;_x000a_            }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failed"/>
    <n v="0"/>
    <m/>
    <d v="2026-02-16T07:39:44"/>
    <n v="1"/>
    <n v="0"/>
    <n v="0"/>
    <n v="0"/>
    <n v="0"/>
  </r>
  <r>
    <x v="6"/>
    <n v="7"/>
    <s v="_x000a_Bug report URL: https://github.com/FasterXML/jackson-core/issues/177_x000a__x000a_Original files:_x000a_---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if (!_gotName) {_x000a_                return STATUS_EXPECT_NAME;_x000a_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_x000a_---FILE_END---"/>
    <m/>
    <s v="success"/>
    <n v="0"/>
    <m/>
    <d v="2026-03-05T01:36:33"/>
    <s v="JacksonCore"/>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_x000a_     * @since 2.5_x000a_     */_x000a_    protected void buildPath(StringBuilder sb) {_x000a_        if (_parent != null) {_x000a_            _parent.buildPath(sb);_x000a_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root context_x000a_            sb.append(&quot;/&quot;);_x000a_        }_x000a_    }_x000a_    _x000a_    // // // Overridden standard methods_x000a__x000a_    /**_x000a_     * Overridden to provide developer writeable &quot;JsonPath&quot; representation_x000a_     * of the context._x000a_     */_x000a_    @Override public String toString() {_x000a_        StringBuilder sb = new StringBuilder(64);_x000a_        buildPath(sb);_x000a_        return sb.toString();_x000a_    }_x000a_}_x000a_---FILE_END---"/>
    <m/>
    <s v="success"/>
    <n v="2"/>
    <s v="com.fasterxml.jackson.core.json.GeneratorFailTest::testFailOnWritingStringNotFieldNameBytes;com.fasterxml.jackson.core.json.GeneratorFailTest::testFailOnWritingStringNotFieldNameChars"/>
    <d v="2026-02-16T07:41:32"/>
    <n v="0"/>
    <n v="2"/>
    <n v="2"/>
    <n v="0"/>
    <n v="2"/>
  </r>
  <r>
    <x v="6"/>
    <n v="13"/>
    <s v="_x000a_Bug report URL: https://github.com/FasterXML/jackson-core/pull/246_x000a__x000a_Original files:_x000a_---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ublic JsonGenerator disable(Feature f) {_x000a_        super.disable(f);_x000a_        if (f == Feature.QUOTE_FIELD_NAMES) {_x000a_            _cfgUnqNames = tru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success"/>
    <n v="0"/>
    <m/>
    <d v="2026-03-05T01:27:10"/>
    <s v="JacksonCore"/>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n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ublic JsonGenerator disable(Feature f) {_x000a_        super.disable(f);_x000a_        if (f == Feature.QUOTE_FIELD_NAMES) {_x000a_            _cfgUnqNames = tru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success"/>
    <n v="0"/>
    <m/>
    <d v="2026-02-16T07:43:46"/>
    <n v="0"/>
    <n v="0"/>
    <n v="0"/>
    <n v="0"/>
    <n v="0"/>
  </r>
  <r>
    <x v="6"/>
    <n v="16"/>
    <s v="_x000a_Bug report URL: https://github.com/FasterXML/jackson-core/issues/296_x000a__x000a_Original files:_x000a_---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if (delegate == null) {_x000a_            return null;_x000a_        }_x000a_        JsonToken t = delegate.nextToken();_x000a_        if (t != null) {_x000a_            return t;_x000a_        }_x000a_        do {_x000a_            if (!switchToNext()) {_x000a_                return null;_x000a_            }_x000a_            t = delegate.nextToken();_x000a_        } while (t == null);_x000a_        return t;_x000a_    }_x000a__x000a_    // This is override of default implementation from JsonParser_x000a_    @Override_x000a_    public JsonParser skipChildren() throws IOException_x000a_    {_x000a_        // 13-Jun-2016, tatu: As per #296, need to override, can't delegate_x000a_        if (delegate.getCurrentToken() != JsonToken.START_OBJECT_x000a_            &amp;&amp; delegate.getCurrentToken() != JsonToken.START_ARRAY) {_x000a_            return this;_x000a_        }_x000a_        int open = 1;_x000a_        while (true) {_x000a_            JsonToken t = nextToken();_x000a_            if (t == null) { // EOF_x000a_                // As per [core#105], must be considered an error._x000a_                _handleEOF();_x000a_                return this;_x000a_            }_x000a_            if (t.isStructStart()) {_x000a_                ++open;_x000a_            } else if (t.isStructEnd()) {_x000a_                if (--open == 0) {_x000a_                    return this;_x000a_                }_x000a_            }_x000a_        }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
    <m/>
    <s v="failed"/>
    <n v="0"/>
    <m/>
    <d v="2026-03-05T01:29:55"/>
    <s v="JacksonCore"/>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Override_x000a_    public JsonParser skipChildren() throws IOException, JsonParseException_x000a_    {_x000a_        // 19-May-2016, tatu: As per [core#296], must delegate to current parser._x000a_        //   (and not use default implementation which would try to use 'this'_x000a_        //   as parser)_x000a_        delegate.skipChildren();_x000a_        return this;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d v="2026-02-16T07:45:49"/>
    <n v="1"/>
    <n v="1"/>
    <n v="1"/>
    <n v="0"/>
    <n v="1"/>
  </r>
  <r>
    <x v="7"/>
    <n v="3"/>
    <s v="_x000a_Bug report URL: https://github.com/FasterXML/jackson-databind/issues/479_x000a__x000a_Original files:_x000a_---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3-05T01:59:36"/>
    <s v="JacksonDatabind"/>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 Since 2.4, we allow 'null' for native String values_x000a_                value = null;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_x000a_            if (t == JsonToken.VALUE_NULL) {_x000a_                value = deser.getNullValue();_x000a_            } else {_x000a_                value = deser.deserialize(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2-16T07:48:48"/>
    <n v="0"/>
    <n v="0"/>
    <n v="0"/>
    <n v="0"/>
    <n v="0"/>
  </r>
  <r>
    <x v="7"/>
    <n v="4"/>
    <s v="_x000a_Bug report URL: https://github.com/FasterXML/jackson-databind/issues/506_x000a__x000a_Original files:_x000a_---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_x000a_                if (t == JsonToken.VALUE_NULL) {_x000a_                    value = deser.getNullValue();_x000a_                } else {_x000a_                    value = deser.deserialize(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isDefaultDeserializer(deser)) {_x000a_            deser = null;_x000a_        }_x000a_        if (_elementDeserializer != deser) {_x000a_            return new StringArrayDeserializer(deser);_x000a_        }_x000a_        return this;_x000a_    }_x000a_}_x000a_---FILE_END---"/>
    <m/>
    <s v="success"/>
    <n v="1"/>
    <s v="com.fasterxml.jackson.databind.deser.TestCollectionDeserialization::testArrayIndexForExceptions"/>
    <d v="2026-03-05T02:19:30"/>
    <s v="JacksonDatabind"/>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ctxt)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String value;_x000a_        if (jp.getCurrentToken() == JsonToken.VALUE_NULL) {_x000a_            value = (_elementDeserializer == null) ? null : _elementDeserializer.getNullValue(ctxt);_x000a_        } else {_x000a_            value = (_elementDeserializer == null) ? _parseString(jp, ctxt)_x000a_                    : _elementDeserializer.deserialize(jp, ctxt);_x000a_        }_x000a_        return new String[] { value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d v="2026-02-16T07:50:42"/>
    <n v="1"/>
    <n v="1"/>
    <n v="1"/>
    <n v="0"/>
    <n v="1"/>
  </r>
  <r>
    <x v="7"/>
    <n v="9"/>
    <s v="_x000a_Bug report URL: https://github.com/FasterXML/jackson-databind/issues/682_x000a__x000a_Original files:_x000a_---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if (value instanceof Enum&lt;?&gt;) {_x000a_            str = ((Enum&lt;?&gt;) value).name();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_x000a_---FILE_END---"/>
    <m/>
    <s v="success"/>
    <n v="4"/>
    <s v="com.fasterxml.jackson.databind.ser.TestEnumSerialization::testEnumsWithJsonValueInMap;com.fasterxml.jackson.databind.ser.TestEnumSerialization::testMapWithEnumKeys;com.fasterxml.jackson.databind.ser.TestEnumSerialization::testToStringEnumWithEnumMap;com.fasterxml.jackson.databind.ser.TestMapSerialization::testClassKey"/>
    <d v="2026-03-05T03:14:37"/>
    <s v="JacksonDatabind"/>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ationFeatur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if (value instanceof Date) {_x000a_            provider.defaultSerializeDateKey((Date) value, jgen);_x000a_            return;_x000a_        } else if (value instanceof Enum&lt;?&gt;) {_x000a_            Enum&lt;?&gt; en = (Enum&lt;?&gt;) value;_x000a_            if (provider.isEnabled(SerializationFeature.WRITE_ENUMS_USING_TO_STRING)) {_x000a_                str = en.toString();_x000a_            } else {_x000a_                str = en.name();_x000a_            }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FILE_END---"/>
    <m/>
    <s v="success"/>
    <n v="3"/>
    <s v="com.fasterxml.jackson.databind.ser.TestEnumSerialization::testEnumsWithJsonValueInMap;com.fasterxml.jackson.databind.ser.TestEnumSerialization::testMapWithEnumKeys;com.fasterxml.jackson.databind.ser.TestMapSerialization::testClassKey"/>
    <d v="2026-02-16T07:53:16"/>
    <n v="0"/>
    <n v="1"/>
    <n v="4"/>
    <n v="3"/>
    <n v="1.3333333333333333"/>
  </r>
  <r>
    <x v="7"/>
    <n v="16"/>
    <s v="_x000a_Bug report URL: https://github.com/FasterXML/jackson-databind/issues/771_x000a__x000a_Original files:_x000a_---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amp;&amp; previous.equals(ann);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m/>
    <s v="success"/>
    <n v="0"/>
    <m/>
    <d v="2026-03-05T01:54:15"/>
    <s v="JacksonDatabind"/>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 We should indicate change if and only if a previous value did not exist,_x000a_        // or if it was different from a new value._x000a_        return (previous == null) || !previous.equals(ann);_x000a_    }_x000a_}_x000a_---FILE_END---"/>
    <m/>
    <s v="success"/>
    <n v="0"/>
    <m/>
    <d v="2026-02-16T07:55:35"/>
    <n v="0"/>
    <n v="0"/>
    <n v="0"/>
    <n v="0"/>
    <n v="0"/>
  </r>
  <r>
    <x v="7"/>
    <n v="23"/>
    <s v="_x000a_Bug report URL: https://github.com/FasterXML/jackson-databind/issues/849_x000a__x000a_Original files:_x000a_---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JsonFormat.Value format = findFormatOverrides(prov, property, handledType());_x000a_                if (format != null) {_x000a_                    switch (format.getShape()) {_x000a_                    case STRING:_x000a_                        return ToStringSerializer.instance;_x000a_                    default: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FILE_END---"/>
    <m/>
    <s v="failed"/>
    <n v="0"/>
    <m/>
    <d v="2026-03-05T01:56:21"/>
    <s v="JacksonDatabind"/>
    <n v="23"/>
    <s v="_x000a_            Bug report URL: https://github.com/FasterXML/jackson-databind/issues/849_x000a__x000a_            Original files:_x000a_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quot;serial&quot;)\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quot;number&quot;); }\n\n\n        @Override\n        public void serialize(Short value, JsonGenerator gen, SerializerProvider provider) throws IOException {\n            gen.writeNumber(value.shortValue());\n        }\n    }\n\n    /**\n     * This is the special serializer for regular {@link java.lang.Integer}s\n     * (and primitive ints)\n     *&lt;p&gt;\n     * Since this is one of &quot;native&quot;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quot;integer&quot;);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quot;integer&quot;);\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quot;number&quot;);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quot;number&quot;); }\n\n\n        @Override\n        public void serialize(Object value, JsonGenerator gen, SerializerProvider provider) throws IOException {\n            gen.writeNumber(((Float) value).floatValue());\n        }\n    }\n\n    /**\n     * This is the special serializer for regular {@link java.lang.Double}s\n     * (and primitive doubles)\n     *&lt;p&gt;\n     * Since this is one of &quot;native&quot;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quot;number&quot;);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n\n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Note: as of 2.6, serializer is generic for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_x000a_        // 2.6: no longer final, as it's not `NonTypedScalarSerializerBase`_x000a_        @Override_x000a_        public void serializeWithType(Object value, JsonGenerator gen,_x000a_                SerializerProvider provider, TypeSerializer typeSer) throws IOException_x000a_        {_x000a_            // no type info, just regular serialization_x000a_            serialize(value, gen, provider);            _x000a_        }_x000a_    }_x000a__x000a_    /**_x000a_     * Similar to {@link IntegerSerializer}, but will not cast to Integer:_x000a_     * instead, cast is to {@link java.lang.Number}, and conversion is_x000a_     * by calling {@link java.lang.Number#intValue}.\n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As of 2.6, generic signature changed to `Object` to avoid generation_x000a_     * of bridge methods._x000a_     */_x000a_    @JacksonStdImpl_x000a_    public final static class DoubleSerializer extends Base&lt;Object&gt;_x000a_    {_x000a_        final static DoubleSerializer instance = new DoubleSerializer();_x000a_    _x000a_        public DoubleSerializer() { super(Double.class, JsonParser.NumberType.DOUBLE, &quot;number&quot;); }_x000a__x000a_        @Override_x000a_        public void serialize(Object value, JsonGenerator gen, SerializerProvider provider) throws IOException {_x000a_            gen.writeNumber(((Double) value).doubleValue());_x000a_        }_x000a__x000a_        // 2.6: no longer final, as it's not `NonTypedScalarSerializerBase`_x000a_        @Override_x000a_        public void serializeWithType(Object value, JsonGenerator gen,_x000a_                SerializerProvider provider, TypeSerializer typeSer) throws IOException_x000a_        {_x000a_            // no type info, just regular serialization_x000a_            serialize(value, gen, provider);            _x000a_        }_x000a_    }_x000a_}_x000a_---FILE_END---"/>
    <m/>
    <s v="failed"/>
    <n v="0"/>
    <m/>
    <d v="2026-02-16T07:57:31"/>
    <n v="0"/>
    <n v="0"/>
    <n v="0"/>
    <n v="0"/>
    <n v="0"/>
  </r>
  <r>
    <x v="7"/>
    <n v="34"/>
    <s v="_x000a_Bug report URL: https://github.com/FasterXML/jackson-databind/issues/1045_x000a__x000a_Original files:_x000a_---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INTEGER);_x000a_            } else {_x000a_                // otherwise bit unclear what to call... but let's try:_x000a_                /*JsonNumberFormatVisitor v2 =*/ visitor.expectNumberFormat(typeHint);_x000a_            }_x000a_        }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JsonNumberFormatVisitor v2 =*/ visitor.expectNumberFormat(typeHint);_x000a_            }_x000a_        }_x000a_    }_x000a_}_x000a_---FILE_END---"/>
    <m/>
    <s v="success"/>
    <n v="0"/>
    <m/>
    <d v="2026-03-05T02:02:22"/>
    <s v="JacksonDatabind"/>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JsonNumberFormatVisitor v2 =*/ visitor.expectNumberFormat(typeHint);_x000a_            }_x000a_        }_x000a_    }_x000a_}_x000a_---FILE_END---"/>
    <m/>
    <s v="success"/>
    <n v="0"/>
    <m/>
    <d v="2026-02-16T08:00:06"/>
    <n v="0"/>
    <n v="0"/>
    <n v="0"/>
    <n v="0"/>
    <n v="0"/>
  </r>
  <r>
    <x v="7"/>
    <n v="35"/>
    <s v="_x000a_Bug report URL: https://github.com/FasterXML/jackson-databind/issues/1051_x000a__x000a_Original files: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 13-Oct-2015, tatu: As per [databind#1051], need to bear in mind_x000a_            //   that `p.getCodec()` may be null._x000a_            TokenBuffer tb = new TokenBuffer(p, ctxt);_x000a_            tb.writeStartObject(); // recreate START_OBJECT_x000a_            tb.writeFieldName(_typePropertyName);_x000a_            tb.writeString(typeId);_x000a_            p = JsonParserSequence.createFlattened(false, 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FILE_END---"/>
    <m/>
    <s v="failed"/>
    <n v="0"/>
    <m/>
    <d v="2026-03-05T02:05:00"/>
    <s v="JacksonDatabind"/>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corresponding fix in the Jackson-databind repository indicates that `AsWrapperTypeDeserializer` incorrectly assumes that the value part of the type-wrapped JSON is always a JSON Object. This causes issues when the value is a scalar, like a string or a number._x000a__x000a_The fix involves several changes within the `_deserialize` method of `AsWrapperTypeDeserializer`:_x000a_1.  The initial token validation is made more flexible to handle different parsing states, which is a general robustness improvement._x000a_2.  The logic for making the type ID visible (when `_typeIdVisible` is true) is adjusted. It previously only worked if the value was a JSON Object. The fix attempts to handle other value types, though it has dependencies on other parts of the library that were also updated._x000a_3.  The final check for `END_OBJECT` is modified to provide a more informative error message._x000a__x000a_While the provided original file is from a version slightly older than the one the fix was committed against (leading to a slight method signature mismatch for `JsonParserSequence.createFlattened`), I will apply the logic of the fix as faithfully as possible to the provided file. The key changes to fix the reported issue are in the token validation and handling._x000a__x000a_Here is the rewritten file with the bug fix._x000a_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JsonToken t = p.getCurrentToken();_x000a_        if (t == JsonToken.START_OBJECT) {_x000a_            // should always get field name, but just in case..._x000a_            if (p.nextToken() != JsonToken.FIELD_NAME) {_x000a_                throw ctxt.wrongTokenException(p, JsonToken.FIELD_NAME,_x000a_                        &quot;need JSON String that contains type id (for subtype of &quot;+baseTypeName()+&quot;)&quot;);_x000a_            }_x000a_        } else if (t != JsonToken.FIELD_NAME) {_x000a_            throw ctxt.wrongTokenException(p, JsonToken.START_OBJECT,_x000a_                    &quot;need JSON Object to contain As.WRAPPER_OBJECT type information for class &quot;+baseTypeName());_x000a_        }_x000a_        final String typeId = p.getText();_x000a_        JsonDeserializer&lt;Object&gt; deser = _findDeserializer(ctxt, typeId);_x000a_        p.nextToken();_x000a__x000a_        // Minor complication: we may need to merge type id in?_x000a_        if (_typeIdVisible &amp;&amp; t == JsonToken.START_OBJECT) {_x000a_            // but what if there's nowhere to add it in? Error? Or skip? For now, skip._x000a_            TokenBuffer tb = new TokenBuffer(null, false);_x000a_            tb.writeStartObject(); // recreate START_OBJECT_x000a_            tb.writeFieldName(_typePropertyName);_x000a_            tb.writeString(typeId);_x000a_            _x000a_            // 02-Nov-2015, tatu: Actually, we need to be able to re-parse from a scalar..._x000a_            p = JsonParserSequence.createFlattened(tb.asParser(p), p);_x000a_            p.nextToken();_x000a_        }_x000a_        _x000a_        Object value = deser.deserialize(p, ctxt);_x000a__x000a_        // And then need the closing END_OBJECT_x000a_        JsonToken t2 = p.nextToken();_x000a_        if (t2 != JsonToken.END_OBJECT) {_x000a_            throw ctxt.wrongTokenException(p, JsonToken.END_OBJECT,_x000a_                    &quot;expected closing END_OBJECT after type information and deserialized value (got &quot;+t2+&quot;)&quot;);_x000a_        }_x000a_        return value;_x000a_    }_x000a_}_x000a_---FILE_END---"/>
    <m/>
    <s v="success"/>
    <n v="0"/>
    <m/>
    <d v="2026-02-16T08:05:49"/>
    <n v="1"/>
    <n v="0"/>
    <n v="0"/>
    <n v="0"/>
    <n v="0"/>
  </r>
  <r>
    <x v="7"/>
    <n v="37"/>
    <s v="_x000a_Bug report URL: https://github.com/FasterXML/jackson-databind/issues/1083_x000a__x000a_Original files:_x000a_---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6,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_x000a__x000a_---FILE_END---"/>
    <m/>
    <s v="success"/>
    <n v="1"/>
    <s v="com.fasterxml.jackson.databind.objectid.Objecid1083Test::testSimple"/>
    <d v="2026-03-05T02:08:54"/>
    <s v="JacksonDatabind"/>
    <n v="37"/>
    <s v="_x000a_            Bug report URL: https://github.com/FasterXML/jackson-databind/issues/1083_x000a__x000a_            Original files:_x000a_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quot;Can not construct SimpleType for a Map (class: &quot;+cls.getName()+&quot;)&quot;);\n        }\n        if (Collection.class.isAssignableFrom(cls)) {\n            throw new IllegalArgumentException(&quot;Can not construct SimpleType for a Collection (class: &quot;+cls.getName()+&quot;)&quot;);\n        }\n        // ... and while we are at it, not array types either\n        if (cls.isArray()) {\n            throw new IllegalArgumentException(&quot;Can not construct SimpleType for an array (class: &quot;+cls.getName()+&quot;)&quot;);\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quot;Class &quot;+subclass.getName()+&quot; not sub-type of &quot;\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quot;Simple types have no content types; can not call withContentType()&quot;);\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quot;Simple types have no content types; can not call withContenTypeHandler()&quot;);\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quot;Simple types have no content types; can not call withContenValueHandler()&quot;);\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quot;[simple type, class &quot;).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13-Nov-2015, tatu: Not sure if this is right, but it seems that we should_x000a_        //   be able to refine a simple type into another simple type._x000a_        //   If so, we'll just construct a new instance._x000a_        // 20-Nov-2015, tatu: Or, perhaps we can do that..._x000a_        return new SimpleType(rawType, bindings,_x000a_                superClass, superInterfaces, _valueHandler, _typeHandler, _asStatic);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475"/>
    <s v="com.fasterxml.jackson.databind.ObjectMapperTest::testProviderConfig;com.fasterxml.jackson.databind.RoundtripTest::testMedaItemRoundtrip;com.fasterxml.jackson.databind.TestFormatSchema::testFormatForParsers;com.fasterxml.jackson.databind.TestHandlerInstantiation::testKeyDeserializer;com.fasterxml.jackson.databind.TestJDKSerialization::testEnumHandlers;com.fasterxml.jackson.databind.TestObjectMapperBeanDeserializer::testSimpleBean;com.fasterxml.jackson.databind.TestObjectMapperBeanDeserializer::testUnknownFields;com.fasterxml.jackson.databind.TestObjectMapperBeanDeserializer::testListBean;com.fasterxml.jackson.databind.TestParserUsingMapper::testIncrementalPojoReading;com.fasterxml.jackson.databind.big.TestBiggerData::testRoundTrip;com.fasterxml.jackson.databind.big.TestBiggerData::testReading;com.fasterxml.jackson.databind.contextual.TestContextualDeserialization::testContextualType;com.fasterxml.jackson.databind.contextual.TestContextualDeserialization::testAnnotatedList;com.fasterxml.jackson.databind.contextual.TestContextualDeserialization::testAnnotatedMap;com.fasterxml.jackson.databind.contextual.TestContextualKeyTypes::testSimpleKeySer;com.fasterxml.jackson.databind.contextual.TestContextualKeyTypes::testSimpleKeyDeser;com.fasterxml.jackson.databind.contextual.TestContextualSerialization::testMethodAnnotationInList;com.fasterxml.jackson.databind.contextual.TestContextualSerialization::testMethodAnnotationInMap;com.fasterxml.jackson.databind.convert.TestArrayConversions::testIntArrayToX;com.fasterxml.jackson.databind.convert.TestArrayConversions::testOverflows;com.fasterxml.jackson.databind.convert.TestArrayConversions::testLongArrayToX;com.fasterxml.jackson.databind.convert.TestBeanConversions::testIssue11;com.fasterxml.jackson.databind.convert.TestConvertingDeserializer::testPropertyAnnotationForMaps;com.fasterxml.jackson.databind.convert.TestConvertingDeserializer::testClassAnnotationForLists;com.fasterxml.jackson.databind.convert.TestConvertingDeserializer::testPropertyAnnotationForLists;com.fasterxml.jackson.databind.convert.TestConvertingSerializer::testPropertyAnnotationForMaps;com.fasterxml.jackson.databind.convert.TestMapConversions::testBeanToMap;com.fasterxml.jackson.databind.convert.TestMapConversions::testMapToMap;com.fasterxml.jackson.databind.convert.TestMapConversions::testIssue287;com.fasterxml.jackson.databind.convert.TestMapConversions::testMapToBean;com.fasterxml.jackson.databind.convert.TestStringConversions::testSimple;com.fasterxml.jackson.databind.convert.TestUpdateValue::testListUpdate;com.fasterxml.jackson.databind.convert.TestUpdateValue::testMapUpdate;com.fasterxml.jackson.databind.creators.BuilderSimpleTest::testWithAnySetter822;com.fasterxml.jackson.databind.creators.TestConstructFromMap::testViaConstructor;com.fasterxml.jackson.databind.creators.TestCreators::testMapWithFactory;com.fasterxml.jackson.databind.creators.TestCreators::testMapWithConstructor;com.fasterxml.jackson.databind.creators.TestCreators2::testAbstractFactory;com.fasterxml.jackson.databind.creators.TestCreators2::testJackson431;com.fasterxml.jackson.databind.creators.TestCreators2::testIssue465;com.fasterxml.jackson.databind.creators.TestCreators541::testCreator541;com.fasterxml.jackson.databind.creators.TestValueInstantiator::testPropertyBasedMapInstantiator;com.fasterxml.jackson.databind.creators.TestValueInstantiator::testDelegateListInstantiator;com.fasterxml.jackson.databind.creators.TestValueInstantiator::testCustomDelegateInstantiator;com.fasterxml.jackson.databind.creators.TestValueInstantiator::testCustomListInstantiator;com.fasterxml.jackson.databind.creators.TestValueInstantiator::testDelegateBeanInstantiator;com.fasterxml.jackson.databind.creators.TestValueInstantiator::testCustomMapInstantiator;com.fasterxml.jackson.databind.creators.TestValueInstantiator::testDelegateMapInstantiator;com.fasterxml.jackson.databind.deser.TestAnnotationUsing::testListContentUsing;com.fasterxml.jackson.databind.deser.TestAnnotationUsing::testRootValueWithCustomKey;com.fasterxml.jackson.databind.deser.TestAnnotationUsing::testMapKeyUsing;com.fasterxml.jackson.databind.deser.TestAnnotationUsing::testMapContentUsing;com.fasterxml.jackson.databind.deser.TestAnyProperties::testProblem744;com.fasterxml.jackson.databind.deser.TestAnyProperties::testIgnored;com.fasterxml.jackson.databind.deser.TestAnyProperties::testSimpleMapImitation;com.fasterxml.jackson.databind.deser.TestAnyProperties::testIgnoredPart2;com.fasterxml.jackson.databind.deser.TestArrayDeserialization::testUntypedArray;com.fasterxml.jackson.databind.deser.TestArrayDeserialization::testBeanArray;com.fasterxml.jackson.databind.deser.TestArrayDeserialization::testFromEmptyString;com.fasterxml.jackson.databind.deser.TestArrayDeserialization::testFromEmptyString2;com.fasterxml.jackson.databind.deser.TestArrayDeserialization::testUntypedArrayOfArrays;com.fasterxml.jackson.databind.deser.TestBeanDeserializer::testModifyCollectionDeserializer;com.fasterxml.jackson.databind.deser.TestBeanDeserializer::testModifyMapDeserializer;com.fasterxml.jackson.databind.deser.TestBeanDeserializer::testModifyKeyDeserializer;com.fasterxml.jackson.databind.deser.TestCachingOfDeser::testCustomListCaching1;com.fasterxml.jackson.databind.deser.TestCachingOfDeser::testCustomListCaching2;com.fasterxml.jackson.databind.deser.TestCachingOfDeser::testCustomMapCaching1;com.fasterxml.jackson.databind.deser.TestCachingOfDeser::testCustomMapCaching2;com.fasterxml.jackson.databind.deser.TestCollectionDeserialization::testIterableWithStrings;com.fasterxml.jackson.databind.deser.TestCollectionDeserialization::testExactStringCollection;com.fasterxml.jackson.databind.deser.TestCollectionDeserialization::testImplicitArrays;com.fasterxml.jackson.databind.deser.TestCollectionDeserialization::testFromEmptyString;com.fasterxml.jackson.databind.deser.TestCollectionDeserialization::testArrayIndexForExceptions;com.fasterxml.jackson.databind.deser.TestCollectionDeserialization::testUntypedList;com.fasterxml.jackson.databind.deser.TestCollectionDeserialization::testIterableWithBeans;com.fasterxml.jackson.databind.deser.TestCollectionDeserialization::testArrayBlockingQueue;com.fasterxml.jackson.databind.deser.TestCollectionDeserialization::testHashSet;com.fasterxml.jackson.databind.deser.TestCollectionDeserialization::testWrapExceptions;com.fasterxml.jackson.databind.deser.TestCollectionDeserialization::testSingletonCollections;com.fasterxml.jackson.databind.deser.TestCustomDeserializers::testCustomBeanDeserializer;com.fasterxml.jackson.databind.deser.TestCustomDeserializers::testIssue882;com.fasterxml.jackson.databind.deser.TestCustomFactory::testCustomBeanDeserializer;com.fasterxml.jackson.databind.deser.TestEnumDeserialization::testEnumMaps;com.fasterxml.jackson.databind.deser.TestEnumDeserialization::testEnumsWithJsonValue;com.fasterxml.jackson.databind.deser.TestEnumDeserialization::testEnumWithCreatorMaps;com.fasterxml.jackson.databind.deser.TestEnumDeserialization::testToStringEnumMaps;com.fasterxml.jackson.databind.deser.TestEnumDeserialization::testDeserializerForCreatorWithEnumMaps;com.fasterxml.jackson.databind.deser.TestEnumDeserialization::testAllowUnknownEnumValuesForEnumSets;com.fasterxml.jackson.databind.deser.TestEnumDeserialization::testEnumWithCreatorEnumMaps;com.fasterxml.jackson.databind.deser.TestEnumDeserialization::testEnumWithCreatorEnumSets;com.fasterxml.jackson.databind.deser.TestEnumDeserialization::testAllowUnknownEnumValuesAsMapKeysReadAsNull;com.fasterxml.jackson.databind.deser.TestEnumDeserialization::testDoNotAllowUnknownEnumValuesAsMapKeysWhenReadAsNullDisabled;com.fasterxml.jackson.databind.deser.TestExceptionDeserialization::testWithCreator;com.fasterxml.jackson.databind.deser.TestExceptionHandling::testExceptionWithIncomplete;com.fasterxml.jackson.databind.deser.TestFieldDeserialization::testFailureDueToDups2;com.fasterxml.jackson.databind.deser.TestFieldDeserialization::testFailureDueToDups;com.fasterxml.jackson.databind.deser.TestGenericCollectionDeser::testAnnotatedBooleanList;com.fasterxml.jackson.databind.deser.TestGenericCollectionDeser::testAnnotatedLStringist;com.fasterxml.jackson.databind.deser.TestGenericCollectionDeser::testListSubClass;com.fasterxml.jackson.databind.deser.TestGenericMapDeser::testIntermediateTypes;com.fasterxml.jackson.databind.deser.TestGenericMapDeser::testKeyViaFactory;com.fasterxml.jackson.databind.deser.TestGenericMapDeser::testKeyViaCtor;com.fasterxml.jackson.databind.deser.TestGenericMapDeser::testMapSubClass;com.fasterxml.jackson.databind.deser.TestGenericMapDeser::testMapWrapper;com.fasterxml.jackson.databind.deser.TestGenericMapDeser::testAnnotatedMap;com.fasterxml.jackson.databind.deser.TestIgnoredTypes::testListWithMixins;com.fasterxml.jackson.databind.deser.TestInjectables::testIssueGH471;com.fasterxml.jackson.databind.deser.TestJDKAtomicTypes::testPolymorphicAtomicReference;com.fasterxml.jackson.databind.deser.TestJDKAtomicTypes::testDeserializeWithContentAs;com.fasterxml.jackson.databind.deser.TestJDKAtomicTypes::testAtomicReference;com.fasterxml.jackson.databind.deser.TestJDKAtomicTypes::testWithUnwrapping;com.fasterxml.jackson.databind.deser.TestJDKAtomicTypes::testFilteringOfAtomicReference;com.fasterxml.jackson.databind.deser.TestJDKAtomicTypes::testAbsentExclusion;com.fasterxml.jackson.databind.deser.TestJDKAtomicTypes::testTypeRefinement;com.fasterxml.jackson.databind.deser.TestJacksonTypes::testJsonLocation;com.fasterxml.jackson.databind.deser.TestJacksonTypes::testTokenBufferWithSequence;com.fasterxml.jackson.databind.deser.TestJdkTypes::testUntypedWithJsonArrays;com.fasterxml.jackson.databind.deser.TestMapDeserialization::testMapFromEmptyArray;com.fasterxml.jackson.databind.deser.TestMapDeserialization::testEnumMap;com.fasterxml.jackson.databind.deser.TestMapDeserialization::testNoCtorMap;com.fasterxml.jackson.databind.deser.TestMapDeserialization::testCurrencyKeyMap;com.fasterxml.jackson.databind.deser.TestMapDeserialization::testMapEntrySimpleTypes;com.fasterxml.jackson.databind.deser.TestMapDeserialization::testSpecialMap;com.fasterxml.jackson.databind.deser.TestMapDeserialization::testClassKeyMap;com.fasterxml.jackson.databind.deser.TestMapDeserialization::testKeyWithCreator;com.fasterxml.jackson.databind.deser.TestMapDeserialization::testEnumPolymorphicSerializationTest;com.fasterxml.jackson.databind.deser.TestMapDeserialization::testFromEmptyString;com.fasterxml.jackson.databind.deser.TestMapDeserialization::testExactStringStringMap;com.fasterxml.jackson.databind.deser.TestMapDeserialization::testUUIDKeyMap;com.fasterxml.jackson.databind.deser.TestMapDeserialization::testGenericMap;com.fasterxml.jackson.databind.deser.TestMapDeserialization::testLocaleKeyMap;com.fasterxml.jackson.databind.deser.TestMapDeserialization::testCalendarMap;com.fasterxml.jackson.databind.deser.TestMapDeserialization::testUntypedMap2;com.fasterxml.jackson.databind.deser.TestMapDeserialization::testUntypedMap3;com.fasterxml.jackson.databind.deser.TestMapDeserialization::testUntypedMap;com.fasterxml.jackson.databind.deser.TestMapDeserialization::testMapEntryFail;com.fasterxml.jackson.databind.deser.TestMapDeserialization::testMapError;com.fasterxml.jackson.databind.deser.TestMapDeserialization::testDateMap;com.fasterxml.jackson.databind.deser.TestMapDeserialization::testIntBooleanMap;com.fasterxml.jackson.databind.deser.TestMapDeserialization::testSingletonMapRoundtrip;com.fasterxml.jackson.databind.deser.TestMapDeserialization::testMapEntryWithStringBean;com.fasterxml.jackson.databind.deser.TestMapDeserialization::testGenericStringIntMap;com.fasterxml.jackson.databind.deser.TestMapDeserialization::testBigUntypedMap;com.fasterxml.jackson.databind.deser.TestMapDeserialization::testMapWithEnums;com.fasterxml.jackson.databind.deser.TestMapDeserialization::testExactStringIntMap;com.fasterxml.jackson.databind.deser.TestNullHandling::testListOfNulls;com.fasterxml.jackson.databind.deser.TestNullHandling::testMapOfNulls;com.fasterxml.jackson.databind.deser.TestObjectOrArrayDeserialization::testNotEmptyArrayCase;com.fasterxml.jackson.databind.deser.TestObjectOrArrayDeserialization::testEmptyArrayCase;com.fasterxml.jackson.databind.deser.TestObjectOrArrayDeserialization::testObjectCase;com.fasterxml.jackson.databind.deser.TestOverloaded::testSpecialization;com.fasterxml.jackson.databind.deser.TestPolymorphicDeserialization676::testDeSerCorrect;com.fasterxml.jackson.databind.deser.TestPolymorphicDeserialization676::testDeSerFail;com.fasterxml.jackson.databind.deser.TestSetterlessProperties::testSimpleSetterlessCollectionOk;com.fasterxml.jackson.databind.deser.TestSetterlessProperties::testSetterlessPrecedence;com.fasterxml.jackson.databind.deser.TestSetterlessProperties::testSimpleSetterlessMapOk;com.fasterxml.jackson.databind.deser.TestSimpleTypes::testNull;com.fasterxml.jackson.databind.deser.TestUntypedDeserialization::testNestedUntyped989;com.fasterxml.jackson.databind.deser.TestUntypedDeserialization::testUntypedWithListDeser;com.fasterxml.jackson.databind.deser.TestUntypedDeserialization::testUntypedWithCustomScalarDesers;com.fasterxml.jackson.databind.deser.TestUntypedDeserialization::testNestedUntypes;com.fasterxml.jackson.databind.deser.TestUntypedDeserialization::testObjectSerializeWithLong;com.fasterxml.jackson.databind.deser.TestUntypedDeserialization::testSampleDoc;com.fasterxml.jackson.databind.deser.TestUntypedDeserialization::testUntypedWithMapDeser;com.fasterxml.jackson.databind.deser.TestValueAnnotations::testOverrideClassValid;com.fasterxml.jackson.databind.deser.TestValueAnnotations::testOverrideMapContents;com.fasterxml.jackson.databind.deser.TestValueAnnotations::testOverrideMapValid;com.fasterxml.jackson.databind.deser.TestValueAnnotations::testRootMapAs;com.fasterxml.jackson.databind.deser.TestValueAnnotations::testOverrideContentClassValid;com.fasterxml.jackson.databind.deser.TestValueAnnotations::testOverrideKeyClassValid;com.fasterxml.jackson.databind.deser.TestValueAnnotations::testRootListAs;com.fasterxml.jackson.databind.deser.UntypedNumbersTest::testForceIntsToLongs;com.fasterxml.jackson.databind.deser.UntypedNumbersTest::testFpTypeOverrideStructured;com.fasterxml.jackson.databind.deser.UntypedNumbersTest::testFpTypeOverrideSimple;com.fasterxml.jackson.databind.deser.UntypedNumbersTest::testIntTypeOverride;com.fasterxml.jackson.databind.ext.TestJdk16Types::test16Types;com.fasterxml.jackson.databind.filter.IgnorePropsTest::testExplicitIgnoralWithBean;com.fasterxml.jackson.databind.filter.IgnorePropsTest::testExplicitIgnoralWithMap;com.fasterxml.jackson.databind.filter.IgnorePropsTest::testIgnoreWithMapProperty;com.fasterxml.jackson.databind.filter.JsonIncludeTest::testNonDefaultByClass;com.fasterxml.jackson.databind.filter.JsonIncludeTest::testMixedMethod;com.fasterxml.jackson.databind.filter.JsonIncludeTest::testGlobal;com.fasterxml.jackson.databind.filter.JsonIncludeTest::testNonNullByClass;com.fasterxml.jackson.databind.filter.MapInclusionTest::testNonNullValueMapViaProp;com.fasterxml.jackson.databind.filter.TestMapFiltering::testMapFilteringViaClass;com.fasterxml.jackson.databind.filter.TestMapFiltering::testMapFilteringViaProps;com.fasterxml.jackson.databind.filter.TestMapFiltering::testMapFilteringWithAnnotations;com.fasterxml.jackson.databind.filter.TestMapFiltering::testMapNonNullValue;com.fasterxml.jackson.databind.filter.TestMapFiltering::testNonNullValueMapViaProp;com.fasterxml.jackson.databind.filter.TestMapFiltering::testMapWithOnlyEmptyValues;com.fasterxml.jackson.databind.filter.TestMapFiltering::testMapNonEmptyValue;com.fasterxml.jackson.databind.filter.TestMapFiltering::testMapAbsentValue;com.fasterxml.jackson.databind.filter.TestMapFiltering::testMapNullSerialization;com.fasterxml.jackson.databind.filter.TestSimpleSerializationIgnore::testSimpleIgnore;com.fasterxml.jackson.databind.filter.TestSimpleSerializationIgnore::testDisabledIgnore;com.fasterxml.jackson.databind.filter.TestSimpleSerializationIgnore::testIgnoreOver;com.fasterxml.jackson.databind.filter.TestUnknownPropertyDeserialization::testClassIgnoreWithMap;com.fasterxml.jackson.databind.filter.TestUnknownPropertyDeserialization::testPropertyIgnoralForMap;com.fasterxml.jackson.databind.filter.TestUnknownPropertyDeserialization::testIssue987;com.fasterxml.jackson.databind.introspect.NoClassDefFoundWorkaroundTest::testDeserialize;com.fasterxml.jackson.databind.introspect.TestAnnotationMerging::testSharedTypeInfoWithCtor;com.fasterxml.jackson.databind.introspect.TestAnnotationMerging::testSharedTypeInfo;com.fasterxml.jackson.databind.introspect.TestJacksonAnnotationIntrospector::testSerializeDeserializeWithJaxbAnnotations;com.fasterxml.jackson.databind.introspect.TestNamingStrategyCustom::testWithGetterAsSetter;com.fasterxml.jackson.databind.introspect.TestNamingStrategyCustom::testLowerCase;com.fasterxml.jackson.databind.jsonschema.NewSchemaTest::testBasicTraversal;com.fasterxml.jackson.databind.jsonschema.TestGenerateJsonSchema::testSchemaSerialization;com.fasterxml.jackson.databind.jsonschema.TestReadJsonSchema::testDeserializeSimple;com.fasterxml.jackson.databind.jsontype.TestAbstractContainers::testAbstractLists;com.fasterxml.jackson.databind.jsontype.TestAbstractContainers::testAbstractMaps;com.fasterxml.jackson.databind.jsontype.TestAbstractTypeNames::testEmptyCollection;com.fasterxml.jackson.databind.jsontype.TestDefaultForArrays::testArrayTypingNested;com.fasterxml.jackson.databind.jsontype.TestDefaultForArrays::testArrayTypingSimple;com.fasterxml.jackson.databind.jsontype.TestDefaultForArrays::testArraysOfArrays;com.fasterxml.jackson.databind.jsontype.TestDefaultForArrays::testNodeInArray;com.fasterxml.jackson.databind.jsontype.TestDefaultForEnums::testSimpleEnumsInObjectArray;com.fasterxml.jackson.databind.jsontype.TestDefaultForEnums::testSimpleEnumsAsField;com.fasterxml.jackson.databind.jsontype.TestDefaultForLists::testListOfLongs;com.fasterxml.jackson.databind.jsontype.TestDefaultForLists::testListOfNumbers;com.fasterxml.jackson.databind.jsontype.TestDefaultForLists::testDateTypes;com.fasterxml.jackson.databind.jsontype.TestDefaultForLists::testJackson628;com.fasterxml.jackson.databind.jsontype.TestDefaultForLists::testJackson667;com.fasterxml.jackson.databind.jsontype.TestDefaultForMaps::testMap;com.fasterxml.jackson.databind.jsontype.TestDefaultForMaps::testList;com.fasterxml.jackson.databind.jsontype.TestDefaultForMaps::testJackson428;com.fasterxml.jackson.databind.jsontype.TestDefaultForObject::testEnumMap;com.fasterxml.jackson.databind.jsontype.TestDefaultForObject::testEnumSet;com.fasterxml.jackson.databind.jsontype.TestDefaultForObject::testEnumAsObject;com.fasterxml.jackson.databind.jsontype.TestDefaultForObject::testBeanAsObject;com.fasterxml.jackson.databind.jsontype.TestDefaultForObject::testBeanAsObjectUsingAsProperty;com.fasterxml.jackson.databind.jsontype.TestDefaultForObject::testJackson311;com.fasterxml.jackson.databind.jsontype.TestDefaultForObject::testIssue352;com.fasterxml.jackson.databind.jsontype.TestDefaultForObject::testTokenBuffer;com.fasterxml.jackson.databind.jsontype.TestDefaultForScalars::testDateScalars;com.fasterxml.jackson.databind.jsontype.TestDefaultForScalars::testScalarArrays;com.fasterxml.jackson.databind.jsontype.TestEnumTyping::testTagList;com.fasterxml.jackson.databind.jsontype.TestEnumTyping::testEnumInterfaceList;com.fasterxml.jackson.databind.jsontype.TestEnumTyping::testUntypedEnum;com.fasterxml.jackson.databind.jsontype.TestExternalId::testInverseExternalId928;com.fasterxml.jackson.databind.jsontype.TestExternalId::testWithNaturalScalar118;com.fasterxml.jackson.databind.jsontype.TestExternalId::testExternalTypeWithCreator;com.fasterxml.jackson.databind.jsontype.TestExternalId::testBigDecimal965;com.fasterxml.jackson.databind.jsontype.TestExternalId::testWithAsValue;com.fasterxml.jackson.databind.jsontype.TestExternalId::testExternalTypeIdWithNull;com.fasterxml.jackson.databind.jsontype.TestExternalId::testWithScalar118;com.fasterxml.jackson.databind.jsontype.TestExternalId::testSimpleDeserialization;com.fasterxml.jackson.databind.jsontype.TestExternalId::testMultipleTypeIdsDeserialization;com.fasterxml.jackson.databind.jsontype.TestGenericListSerialization::testSubTypesFor356;com.fasterxml.jackson.databind.jsontype.TestPolymorphicWithDefaultImpl::testDeserializationWithArrayOfSize2;com.fasterxml.jackson.databind.jsontype.TestPolymorphicWithDefaultImpl::testInvalidTypeId511;com.fasterxml.jackson.databind.jsontype.TestPolymorphicWithDefaultImpl::testDeserializationWithObject;com.fasterxml.jackson.databind.jsontype.TestPolymorphicWithDefaultImpl::testDeserializationWithString;com.fasterxml.jackson.databind.jsontype.TestPolymorphicWithDefaultImpl::testDeserializationWithArray;com.fasterxml.jackson.databind.jsontype.TestPropertyTypeInfo::testSimpleField;com.fasterxml.jackson.databind.jsontype.TestPropertyTypeInfo::testSimpleArrayField;com.fasterxml.jackson.databind.jsontype.TestPropertyTypeInfo::testSimpleMapMethod;com.fasterxml.jackson.databind.jsontype.TestPropertyTypeInfo::testSimpleMethod;com.fasterxml.jackson.databind.jsontype.TestPropertyTypeInfo::testSimpleListMethod;com.fasterxml.jackson.databind.jsontype.TestPropertyTypeInfo::testSimpleMapField;com.fasterxml.jackson.databind.jsontype.TestPropertyTypeInfo::testSimpleListField;com.fasterxml.jackson.databind.jsontype.TestPropertyTypeInfo::testSimpleArrayMethod;com.fasterxml.jackson.databind.jsontype.TestScalars::testScalarsWithTyping;com.fasterxml.jackson.databind.jsontype.TestSubtypesExistingProperty::testExistingPropertySerializationCars;com.fasterxml.jackson.databind.jsontype.TestSubtypesExistingProperty::testSimpleClassAsExistingPropertyDeserializationCars;com.fasterxml.jackson.databind.jsontype.TestSubtypesExistingProperty::testExistingPropertySerializationAnimals;com.fasterxml.jackson.databind.jsontype.TestSubtypesExistingProperty::testSimpleClassAsExistingPropertyDeserializationFruits;com.fasterxml.jackson.databind.jsontype.TestSubtypesExistingProperty::testExistingPropertySerializationFruits;com.fasterxml.jackson.databind.jsontype.TestSubtypesExistingProperty::testSimpleClassAsExistingPropertyDeserializationAnimals;com.fasterxml.jackson.databind.jsontype.TestTypeNames::testRoundTrip;com.fasterxml.jackson.databind.jsontype.TestTypeNames::testRoundTripMap;com.fasterxml.jackson.databind.jsontype.TestTypedArrayDeserialization::testBooleanListAsProp;com.fasterxml.jackson.databind.jsontype.TestTypedArrayDeserialization::testIntList;com.fasterxml.jackson.databind.jsontype.TestTypedArrayDeserialization::testLongListAsWrapper;com.fasterxml.jackson.databind.jsontype.TestTypedArraySerialization::testStringListAsProp;com.fasterxml.jackson.databind.jsontype.TestTypedArraySerialization::testStringListAsObjectWrapper;com.fasterxml.jackson.databind.jsontype.TestTypedArraySerialization::testIntList;com.fasterxml.jackson.databind.jsontype.TestTypedContainerSerialization::testIssue508;com.fasterxml.jackson.databind.jsontype.TestTypedDeserialization::testTypeAsWrapper;com.fasterxml.jackson.databind.jsontype.TestTypedDeserialization::testListAsArray;com.fasterxml.jackson.databind.jsontype.TestTypedDeserialization::testCagedAnimal;com.fasterxml.jackson.databind.jsontype.TestTypedDeserialization::testTypeAsArray;com.fasterxml.jackson.databind.jsontype.TestTypedDeserialization::testSimpleClassAsProperty;com.fasterxml.jackson.databind.jsontype.TestTypedSerialization::testTypeAsWrapper;com.fasterxml.jackson.databind.jsontype.TestTypedSerialization::testTypeAsArray;com.fasterxml.jackson.databind.jsontype.TestTypedSerialization::testSimpleClassAsProperty;com.fasterxml.jackson.databind.jsontype.TestTypedSerialization::testInArray;com.fasterxml.jackson.databind.jsontype.TestWithGenerics::testJackson387;com.fasterxml.jackson.databind.jsontype.TestWithGenerics::testJackson430;com.fasterxml.jackson.databind.jsontype.WrapperObjectWithObjectIdTest::testSimple;com.fasterxml.jackson.databind.mixins.TestMixinDeserForMethods::testWithAnySetter;com.fasterxml.jackson.databind.mixins.TestMixinInheritance::testMixinMethodInheritance;com.fasterxml.jackson.databind.mixins.TestMixinInheritance::testMixinFieldInheritance;com.fasterxml.jackson.databind.mixins.TestMixinSerForClass::testClassMixInsTopLevel;com.fasterxml.jackson.databind.mixins.TestMixinSerForClass::testClassMixInsMidLevel;com.fasterxml.jackson.databind.mixins.TestMixinSerForFields::testMultipleFieldMixIns;com.fasterxml.jackson.databind.mixins.TestMixinSerForFields::testFieldMixInsTopLevel;com.fasterxml.jackson.databind.mixins.TestMixinSerForMethods::testObjectMixin;com.fasterxml.jackson.databind.mixins.TestMixinSerForMethods::testIntermediateMixin2;com.fasterxml.jackson.databind.mixins.TestMixinSerForMethods::testIntermediateMixin;com.fasterxml.jackson.databind.mixins.TestMixinSerForMethods::testCustomResolver;com.fasterxml.jackson.databind.mixins.TestMixinSerForMethods::testLeafMixin;com.fasterxml.jackson.databind.module.TestAbstractTypes::testDefaultingRecursive;com.fasterxml.jackson.databind.module.TestAbstractTypes::testCollectionDefaulting;com.fasterxml.jackson.databind.module.TestCustomEnumKeyDeserializer::testWithEnumKeys;com.fasterxml.jackson.databind.module.TestKeyDeserializers::testKeyDeserializers;com.fasterxml.jackson.databind.module.TestSimpleModule::testMixIns;com.fasterxml.jackson.databind.module.TestTypeModifiers::testCollectionLikeDeserialization;com.fasterxml.jackson.databind.module.TestTypeModifiers::testMapLikeSerialization;com.fasterxml.jackson.databind.module.TestTypeModifiers::testMapLikeDeserialization;com.fasterxml.jackson.databind.module.TestTypeModifiers::testMapLikeTypeConstruction;com.fasterxml.jackson.databind.module.TestTypeModifiers::testCollectionLikeTypeConstruction;com.fasterxml.jackson.databind.module.TestTypeModifiers::testCollectionLikeSerialization;com.fasterxml.jackson.databind.node.TestConversions::testBigDecimalAsPlainStringTreeConversion;com.fasterxml.jackson.databind.node.TestTreeTraversingParser::testDataBind;com.fasterxml.jackson.databind.objectid.JSOGDeserialize622Test::testPolymorphicRoundTrip;com.fasterxml.jackson.databind.objectid.Objecid1083Test::testSimple;com.fasterxml.jackson.databind.objectid.ObjectId825BTest::testFull825;com.fasterxml.jackson.databind.objectid.ReferentialWithObjectIdTest::testAtomicWithObjectId;com.fasterxml.jackson.databind.objectid.TestAbstractWithObjectId::testIssue877;com.fasterxml.jackson.databind.objectid.TestObjectId::testMixedRefsIssue188;com.fasterxml.jackson.databind.objectid.TestObjectIdDeserialization::testKeepMapOrdering;com.fasterxml.jackson.databind.objectid.TestObjectIdDeserialization::testForwardReferenceInMap;com.fasterxml.jackson.databind.objectid.TestObjectIdDeserialization::testKeepCollectionOrdering;com.fasterxml.jackson.databind.objectid.TestObjectIdDeserialization::testForwardReference;com.fasterxml.jackson.databind.objectid.TestObjectIdDeserialization::testUnresolvedForwardReference;com.fasterxml.jackson.databind.objectid.TestObjectIdDeserialization::testForwardReferenceInCollection;com.fasterxml.jackson.databind.objectid.TestObjectIdDeserialization::testCustomPoolResolver;com.fasterxml.jackson.databind.objectid.TestObjectIdWithEquals::testSimpleEquals;com.fasterxml.jackson.databind.objectid.TestObjectIdWithPolymorphic::testIssue811;com.fasterxml.jackson.databind.seq.ObjectReaderTest::testPointerLoadingMappingIteratorMany;com.fasterxml.jackson.databind.seq.ObjectReaderTest::testNoPointerLoading;com.fasterxml.jackson.databind.seq.ObjectReaderTest::testPointerLoadingAsJsonNode;com.fasterxml.jackson.databind.seq.ObjectReaderTest::testPointerLoading;com.fasterxml.jackson.databind.seq.ObjectReaderTest::testPointerLoadingMappingIteratorOne;com.fasterxml.jackson.databind.seq.ObjectWriterTest::testObjectWriterFeatures;com.fasterxml.jackson.databind.seq.ObjectWriterTest::testPrettyPrinter;com.fasterxml.jackson.databind.seq.ReadValuesTest::testNonRootMapsWithObjectReader;com.fasterxml.jackson.databind.seq.ReadValuesTest::testRootMaps;com.fasterxml.jackson.databind.seq.ReadValuesTest::testNonRootMapsWithParser;com.fasterxml.jackson.databind.ser.DateSerializationTest::testDatesAsMapKeys;com.fasterxml.jackson.databind.ser.FieldSerializationTest::testSimpleAnnotation;com.fasterxml.jackson.databind.ser.FieldSerializationTest::testSimpleAutoDetect;com.fasterxml.jackson.databind.ser.FieldSerializationTest::testOkDupFields;com.fasterxml.jackson.databind.ser.FieldSerializationTest::testTransientAndStatic;com.fasterxml.jackson.databind.ser.FieldSerializationTest::testFailureDueToDupField;com.fasterxml.jackson.databind.ser.FieldSerializationTest::testNoAutoDetect;com.fasterxml.jackson.databind.ser.RawValueTest::testRawFromMapToTree;com.fasterxml.jackson.databind.ser.TestAnnotationInheritance::testSimpleGetterInterfaceImpl;com.fasterxml.jackson.databind.ser.TestAnnotationInheritance::testSimpleGetterInheritance;com.fasterxml.jackson.databind.ser.TestAnnotations::testSimpleGetter;com.fasterxml.jackson.databind.ser.TestAnnotations::testSimpleGetter2;com.fasterxml.jackson.databind.ser.TestAnnotations::testSimpleGetter3;com.fasterxml.jackson.databind.ser.TestAnnotations::testGetterInheritance;com.fasterxml.jackson.databind.ser.TestAnyGetter::testSimpleJsonValue;com.fasterxml.jackson.databind.ser.TestAutoDetect::testMapperShortcutMethods;com.fasterxml.jackson.databind.ser.TestAutoDetect::testBasicSetup;com.fasterxml.jackson.databind.ser.TestAutoDetect::testPrivateUsingGlobals;com.fasterxml.jackson.databind.ser.TestAutoDetect::testProtectedViaAnnotations;com.fasterxml.jackson.databind.ser.TestBeanSerializer::testModifyKeySerializer;com.fasterxml.jackson.databind.ser.TestBeanSerializer::testModifyMapSerializer;com.fasterxml.jackson.databind.ser.TestBeanSerializer::testModifyCollectionSerializer;com.fasterxml.jackson.databind.ser.TestCollectionSerialization::testEnumMap;com.fasterxml.jackson.databind.ser.TestCollectionSerialization::testEmptyBeanCollection;com.fasterxml.jackson.databind.ser.TestCollectionSerialization::testEmptyListOrArray;com.fasterxml.jackson.databind.ser.TestCollectionSerialization::testBigCollection;com.fasterxml.jackson.databind.ser.TestCollectionSerialization::testEmptyBeanEnumMap;com.fasterxml.jackson.databind.ser.TestCollectionSerialization::testNullBeanEnumMap;com.fasterxml.jackson.databind.ser.TestCollectionSerialization::testCollections;com.fasterxml.jackson.databind.ser.TestCollectionSerialization::testNullBeanCollection;com.fasterxml.jackson.databind.ser.TestConfig::testProviderConfig;com.fasterxml.jackson.databind.ser.TestConfig::testAnnotationsDisabled;com.fasterxml.jackson.databind.ser.TestConfig::testIndentation;com.fasterxml.jackson.databind.ser.TestCyclicTypes::testLinked;com.fasterxml.jackson.databind.ser.TestEnumSerialization::testEnumSet;com.fasterxml.jackson.databind.ser.TestEnumSerialization::testEnumMapSerDisableToString;com.fasterxml.jackson.databind.ser.TestEnumSerialization::testEnumMapSerDefault;com.fasterxml.jackson.databind.ser.TestEnumSerialization::testJsonValueForEnumMapKey;com.fasterxml.jackson.databind.ser.TestEnumSerialization::testEnumsWithJsonValueInMap;com.fasterxml.jackson.databind.ser.TestEnumSerialization::testMapWithEnumKeys;com.fasterxml.jackson.databind.ser.TestEnumSerialization::testEnumMapSerEnableToString;com.fasterxml.jackson.databind.ser.TestEnumSerialization::testToStringEnumWithEnumMap;com.fasterxml.jackson.databind.ser.TestExceptionHandling::testCatchAndRethrow;com.fasterxml.jackson.databind.ser.TestExceptionSerialization::testSimple;com.fasterxml.jackson.databind.ser.TestFeatures::testPerClassAutoDetection;com.fasterxml.jackson.databind.ser.TestFeatures::testPerClassAutoDetectionForIsGetter;com.fasterxml.jackson.databind.ser.TestFeatures::testGlobalAutoDetection;com.fasterxml.jackson.databind.ser.TestFeatures::testSingleElementCollections;com.fasterxml.jackson.databind.ser.TestGenericTypes::testRootTypeForCollections727;com.fasterxml.jackson.databind.ser.TestGenericTypes::testIssue468a;com.fasterxml.jackson.databind.ser.TestGenericTypes::testIssue468b;com.fasterxml.jackson.databind.ser.TestIterable::testWithIterable;com.fasterxml.jackson.databind.ser.TestJacksonTypes::testLocation;com.fasterxml.jackson.databind.ser.TestJdkTypes::testBigDecimal;com.fasterxml.jackson.databind.ser.TestJdkTypes::testRegexps;com.fasterxml.jackson.databind.ser.TestJdkTypes::testBigDecimalAsPlainString;com.fasterxml.jackson.databind.ser.TestJsonSerialize::testMixedTypingForClass;com.fasterxml.jackson.databind.ser.TestJsonSerialize::testStaticTypingWithArrayList;com.fasterxml.jackson.databind.ser.TestJsonSerialize::testStaticTypingWithLinkedList;com.fasterxml.jackson.databind.ser.TestJsonSerialize::testSimpleValueDefiniti"/>
    <d v="2026-02-16T08:10:25"/>
    <n v="0"/>
    <n v="474"/>
    <n v="399"/>
    <n v="1"/>
    <n v="399"/>
  </r>
  <r>
    <x v="7"/>
    <n v="39"/>
    <s v="_x000a_Bug report URL: https://github.com/FasterXML/jackson-databind/issues/1108_x000a__x000a_Original files:_x000a_---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29-Jan-2016, tatu: Simple skipping for all other tokens, but FIELD_NAME bit_x000a_        //    special unfortunately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databind#1108]: needed for `FIELD_NAME`_x000a_        if (p.getCurrentToken() != JsonToken.FIELD_NAME) {_x000a_            p.skipChildren();_x000a_        }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3-05T02:13:14"/>
    <s v="JacksonDatabind"/>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15-Feb-2016, tatu: As per #1108, we may be pointed to FIELD_NAME, and need_x000a_        //   to advance to value._x000a_        if (p.getCurrentToken() == JsonToken.FIELD_NAME) {_x000a_            p.nextToken();_x000a_        }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2-16T08:14:00"/>
    <n v="0"/>
    <n v="0"/>
    <n v="1"/>
    <n v="1"/>
    <n v="1"/>
  </r>
  <r>
    <x v="7"/>
    <n v="43"/>
    <s v="_x000a_Bug report URL: https://github.com/FasterXML/jackson-databind/pull/1150_x000a__x000a_Original files:_x000a_---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 03-Jun-2016, tatu: As per [databind#1150], this is not right; should be fine_x000a_        //   to get `null` and that should not be passed further._x000a_        final Object id = _valueDeserializer.deserialize(p, ctxt);_x000a_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if (id == null) {_x000a_            return instance;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m/>
    <s v="success"/>
    <n v="1"/>
    <s v="com.fasterxml.jackson.databind.objectid.TestObjectIdSerialization::testNullStringPropertyId"/>
    <d v="2026-03-05T02:22:20"/>
    <s v="JacksonDatabind"/>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 15-Jun-2016, tatu: As per [databind#1150], we need to both handle_x000a_        //   polymorphic type and properly bind id, so..._x000a_        Object id = _valueDeserializer.deserializeWithType(p, ctxt, _valueTypeDeserializer);_x000a_        ReadableObjectId roid = ctxt.findObjectId(id, _objectIdReader.generator, _objectIdReader.resolver);_x000a_        roid.bindItem(instance);_x000a__x000a_        SettableBeanProperty idProp = _objectIdReader.idProperty;_x000a_        if (idProp != null) {_x000a_            idProp.set(instance, id);_x000a_        }_x000a_    }_x000a__x000a_    @Override_x000a_    public Object deserializeSetAndReturn(JsonParser p,_x000a_    _x0009__x0009_DeserializationContext ctxt, Object instance) throws IOException_x000a_    {_x000a_        // 15-Jun-2016, tatu: As per [databind#1150], we may need to use type deserializer,_x000a_        Object id = _valueDeserializer.deserializeWithType(p, ctxt, _valueTypeDeserializer);_x000a_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 15-Jun-2016, tatu: Except that `null` may be legit value for some Object Ids..._x000a_        //    so we do need to check.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FILE_END---"/>
    <m/>
    <s v="success"/>
    <n v="7"/>
    <s v="com.fasterxml.jackson.databind.objectid.JSOGDeserialize622Test::testAlterativePolymorphicRoundTrip669;com.fasterxml.jackson.databind.objectid.JSOGDeserialize622Test::testPolymorphicRoundTrip;com.fasterxml.jackson.databind.objectid.JSOGDeserialize622Test::testStructJSOGRef;com.fasterxml.jackson.databind.objectid.TestObjectIdDeserialization::testSimpleUUIDForClassRoundTrip;com.fasterxml.jackson.databind.objectid.TestObjectIdDeserialization::testNullObjectId;com.fasterxml.jackson.databind.objectid.TestObjectIdSerialization::testNullStringPropertyId;com.fasterxml.jackson.databind.objectid.TestObjectIdWithEquals::testEqualObjectIdsExternal"/>
    <d v="2026-02-16T08:18:14"/>
    <n v="0"/>
    <n v="6"/>
    <n v="7"/>
    <n v="1"/>
    <n v="7"/>
  </r>
  <r>
    <x v="7"/>
    <n v="45"/>
    <s v="_x000a_Bug report URL: https://github.com/FasterXML/jackson-databind/pull/1155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 #1153:_x000a_                if ((shape == JsonFormat.Shape.STRING) || format.hasPattern()_x000a_                        || format.hasLocale() || format.hasTimeZone()) {_x000a_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0"/>
    <m/>
    <d v="2026-03-05T02:26:24"/>
    <s v="JacksonDatabind"/>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_x000a_     * @since 2.7_x000a_     */_x000a_    @SuppressWarnings(&quot;unchecked&quot;)_x000a_    public DateTimeSerializerBase&lt;T&gt; withFormat(Boolean timestamp, DateFormat customFormat, Locale locale) {_x000a_        // By default, locale does not matter_x000a_        return withFormat(timestamp, customFormat);_x000a_    }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 loc);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d v="2026-02-16T08:22:00"/>
    <n v="0"/>
    <n v="1"/>
    <n v="1"/>
    <n v="0"/>
    <n v="1"/>
  </r>
  <r>
    <x v="7"/>
    <n v="46"/>
    <s v="_x000a_Bug report URL: https://github.com/FasterXML/jackson-databind/issues/1194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_x000a_    /* Life-cycle_x000a_    /**********************************************************_x000a_     */_x000a__x000a_    protected ReferenceType(Class&lt;?&gt; cls, TypeBindings bindings, JavaType superClass, JavaType[] superInts,_x000a_            JavaType refType, Object valueHandler, Object typeHandler, boolean asStatic)_x000a_    {_x000a_        super(cls, bindings, superClass, superInts, refType.hashCode(),_x000a_                valueHandler, typeHandler, asStatic);_x000a_        _referencedType = refType;_x000a_    }_x000a_    _x000a_    @Deprecated // since 2.8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TypeBindings bindings,_x000a_            JavaType superClass, JavaType[] superInts, JavaType refType)_x000a_    {_x000a_        return new ReferenceType(cls, bindings, superClass, superInts, refType, null, null, false);_x000a_    }_x000a__x000a_    @Deprecated // since 2.8_x000a_    public static ReferenceType construct(Class&lt;?&gt; cls, JavaType refType,_x000a_            Object valueHandler, Object typeHandler)_x000a_    {_x000a_        return new ReferenceType(cls, refType, valueHandler, typeHandler, false);_x000a_    }                                   _x000a_    _x000a_    @Override_x000a_    public ReferenceType withTypeHandler(Object h)_x000a_    {_x000a_        if (h == _typeHandler) {_x000a_            return this;_x000a_        }_x000a_        return new ReferenceType(_class, _bindings, _superClass, _superInterfaces,_x000a_                _referenced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_x000a_                _valueHandler, _typeHandler, _asStatic);_x000a_    }_x000a__x000a_    @Override_x000a_    public ReferenceType withValueHandler(Object h) {_x000a_        if (h == _valueHandler) {_x000a_            return this;_x000a_        }_x000a_        return new ReferenceType(_class, _bindings, _superClass, _superInterfaces,_x000a_                _referencedType, h, _typeHandler, _asStatic);_x000a_    }_x000a__x000a_    @Override_x000a_    public ReferenceType withContentValueHandler(Object h) {_x000a_        if (h == _referencedType.&lt;Object&gt;getValueHandler()) {_x000a_            return this;_x000a_        }_x000a_        JavaType newRefType = _referencedType.withValueHandler(h);_x000a_        return new ReferenceType(_class, _bindings, _superClass, _superInterfaces,_x000a_                newRefType, _valueHandler, _typeHandler, _asStatic);_x000a_    }_x000a__x000a_    @Override_x000a_    public ReferenceType withStaticTyping() {_x000a_        if (_asStatic) {_x000a_            return this;_x000a_        }_x000a_        return new ReferenceType(_class, _bindings, _superClass, _superInterfaces,_x000a_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19-May-2016, tatu: Not sure if this is correct, but has to do for now_x000a_        return new ReferenceType(subclass, _bindings, _superClass, _superInterfaces,_x000a_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failed"/>
    <n v="0"/>
    <m/>
    <d v="2026-03-05T02:29:08"/>
    <s v="JacksonDatabind"/>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_x000a_     * @deprecated Since 2.7_x000a_     */_x000a_    @Deprecated_x000a_    public static ReferenceType construct(Class&lt;?&gt; cls, JavaType refType,_x000a_            Object valueHandler, Object typeHandler)_x000a_    {_x000a_        return new ReferenceType(cls, refType, valueHandler, typeHandler, false);_x000a_    }_x000a__x000a_    public static ReferenceType construct(Class&lt;?&gt; cls, JavaType refType)_x000a_    {_x000a_        // 13-Jun-2016, tatu: As per [databind#1194], this method should be producing_x000a_        //    &quot;fully typed&quot; instances._x000a_        return new ReferenceType(cls, refType, null, null, true);_x000a_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FILE_END---"/>
    <m/>
    <s v="success"/>
    <n v="1"/>
    <s v="com.fasterxml.jackson.databind.type.TestJavaType::testGenericSignature1195"/>
    <d v="2026-02-16T08:25:45"/>
    <n v="1"/>
    <n v="1"/>
    <n v="1"/>
    <n v="0"/>
    <n v="1"/>
  </r>
  <r>
    <x v="7"/>
    <n v="49"/>
    <s v="_x000a_Bug report URL: https://github.com/FasterXML/jackson-databind/issues/1255_x000a__x000a_Original files:_x000a_---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d = generator.generateId(forPojo);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_x000a__x000a_---FILE_END---"/>
    <m/>
    <s v="success"/>
    <n v="0"/>
    <m/>
    <d v="2026-03-05T02:32:43"/>
    <s v="JacksonDatabind"/>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2-16T08:28:20"/>
    <n v="0"/>
    <n v="0"/>
    <n v="0"/>
    <n v="0"/>
    <n v="0"/>
  </r>
  <r>
    <x v="7"/>
    <n v="55"/>
    <s v="_x000a_Bug report URL: https://github.com/FasterXML/jackson-databind/issues/1322_x000a__x000a_Original files:_x000a_---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_x000a_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import com.fasterxml.jackson.databind.util.EnumValues;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 11-Aug-2016, tatu: This is the fallback for Enum keys, which need to be handled_x000a_                //    using a customized serializer for @JsonValue handling._x000a_                //    But for that, we need bit more context..._x000a_                return new EnumKeySerializer(rawKeyType, null);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0_x000a_     */_x000a_    protected static class EnumKeySerializer extends StdSerializer&lt;Object&gt;_x000a_    {_x000a_        protected final EnumValues _values;_x000a__x000a_        protected EnumKeySerializer(Class&lt;?&gt; enumType, EnumValues values) {_x000a_            super(enumType, false);_x000a_            _values = values;_x000a_        }_x000a__x000a_        @Override_x000a_        public void serialize(Object value, JsonGenerator g, SerializerProvider provider) throws IOException_x000a_        {_x000a_            // 03-Nov-2016, tatu: This is not fully correct, as we do not know for sure_x000a_            //   what the result of @JsonValue is. But for now let's assume it's_x000a_            //   String, and just use that._x000a_            EnumValues values = _values;_x000a_            if (values == null) {_x000a_                // 11-Nov-2016, tatu: This should not happen, but it's possible if_x000a_                //   bean property has been used to find this, and not `findKeySerializer()`_x000a_                //   which would pass `EnumValues`._x000a_                values = ((EnumSerializer)provider.findValueSerializer(value.getClass(), null))_x000a_                        .getEnumValues();_x000a_            }_x000a_            SerializableString sstr = values.serializedValueFor((Enum&lt;?&gt;) value);_x000a_            g.writeFieldName(sstr);_x000a_        }_x000a_    }_x000a_}_x000a_---FILE_END---"/>
    <m/>
    <s v="failed"/>
    <n v="0"/>
    <m/>
    <d v="2026-03-05T02:36:12"/>
    <s v="JacksonDatabind"/>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import com.fasterxml.jackson.databind.util.EnumValues;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 [databind#1322]: Make specialized serializer for enum keys_x000a_                @SuppressWarnings({ &quot;rawtypes&quot;, &quot;unchecked&quot; })_x000a_                Class&lt;Enum&lt;?&gt;&gt; enumType = (Class&lt;Enum&lt;?&gt;&gt;) rawKeyType;_x000a_                // 12-Jun-2016, tatu: Note: can not use `EnumValues.construct()` as that would_x000a_                //   not detect per-enum-type overrides._x000a_                return new EnumKeySerializer(rawKeyType, EnumValues.construct(config, enum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TO_STRING = 4;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TO_STRING:_x000a_            default:_x000a_                g.writeFieldName(value.toString());_x000a_            }_x000a_        }_x000a_    }_x000a__x000a_    /**_x000a_     * Specialized instance to use for Enum keys, as per [databind#1322]_x000a_     *_x000a_     * @since 2.8_x000a_     */_x000a_    public static class EnumKeySerializer extends StdSerializer&lt;Object&gt;_x000a_    {_x000a_        protected final EnumValues _values;_x000a__x000a_        protected EnumKeySerializer(Class&lt;?&gt; enumType, EnumValues v) {_x000a_            super(enumType, false);_x000a_            _values = v;_x000a_        }_x000a__x000a_        public static EnumKeySerializer construct(Class&lt;?&gt; enumType, EnumValues enumValues) {_x000a_            return new EnumKeySerializer(enumType, enumValues);_x000a_        }_x000a__x000a_        @Override_x000a_        public void serialize(Object value, JsonGenerator g, SerializerProvider provider) throws IOException_x000a_        {_x000a_            Enum&lt;?&gt; en = (Enum&lt;?&gt;) value;_x000a_            g.writeFieldName(_values.serializedValueFor(en));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FILE_END---"/>
    <m/>
    <s v="success"/>
    <n v="0"/>
    <m/>
    <d v="2026-02-16T08:32:54"/>
    <n v="1"/>
    <n v="0"/>
    <n v="0"/>
    <n v="0"/>
    <n v="0"/>
  </r>
  <r>
    <x v="7"/>
    <n v="72"/>
    <s v="_x000a_Bug report URL: https://github.com/FasterXML/jackson-databind/issues/1501_x000a__x000a_Original files:_x000a_---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_x000a_            // 23-Feb-2017, tatu: Let's explicitly check for START_OBJECT, since that's another_x000a_            //   case where we can just delegate. It's just that we need to create instance_x000a_            //   first._x000a_            if (t == JsonToken.START_OBJECT) {_x000a_                try {_x000a_                    value = _creator.newInstance(bean);_x000a_                } catch (Exception e) {_x000a_                    ClassUtil.unwrapAndThrowAsIAE(e, &quot;Failed to instantiate class &quot;+_creator.getDeclaringClass().getName()+&quot;, problem: &quot;+e.getMessage());_x000a_                    value = null; // to keep compiler happy_x000a_                }_x000a_                _valueDeserializer.deserialize(jp, ctxt, value);_x000a_            } else {_x000a_                // A-ha! Must be a non-structured value, so let's call non-update deserialize_x000a_                // and see what we get._x000a_                try {_x000a_                    value = _valueDeserializer.deserialize(jp, ctxt);_x000a_                } catch (IOException e) {_x000a_                    // 24-Feb-2017, tatu: As per [databind#1503], this can be an issue._x000a_                    //    Alas, need to dig deeper. For now, let's just re-throw_x000a_                    throw e;_x000a_                }_x000a_            }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
    <m/>
    <s v="success"/>
    <n v="1"/>
    <s v="com.fasterxml.jackson.databind.creators.InnerClassCreatorTest::testIssue1501"/>
    <d v="2026-03-05T02:42:01"/>
    <s v="JacksonDatabind"/>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p, DeserializationContext ctxt, Object bean)_x000a_        throws IOException_x000a_    {_x000a_        // 03-Feb-2017, tatu: We have to be careful here. If we have VALUE_NULL,_x000a_        //    we may want to either skip, or create a null value. Note that we_x000a_        //    are not using &quot;updateValue()&quot; here, but rather creating a new instance_x000a_        //    for the whole property... so we can't really just leave it._x000a_        //    But! We can see if the JsonParser has `null` token and handle that._x000a_        Object value;_x000a_        if (p.getCurrentToken() == JsonToken.VALUE_NULL) {_x000a_            value = _valueDeserializer.getNullValue(ctxt);_x000a_        } else if (_valueTypeDeserializer != null) {_x000a_            value = _valueDeserializer.deserializeWithType(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 // should not occur_x000a_            }_x000a_            _valueDeserializer.deserialize(p, ctxt, value);_x000a_        }_x000a_        set(bean, value);_x000a_    }_x000a__x000a_    @Override_x000a_    public Object deserializeSetAndReturn(JsonParser p,_x000a_    _x0009__x0009_DeserializationContext ctxt, Object instance)_x000a_        throws IOException_x000a_    {_x000a_        // 03-Feb-2017, tatu: See above for problems; can't delegate to `deserialize()` as_x000a_        //    it can't handle inner class instantiation correctly. So, inline mostly_x000a_        Object value;_x000a_        if (p.getCurrentToken() == JsonToken.VALUE_NULL) {_x000a_            value = _valueDeserializer.getNullValue(ctxt);_x000a_        } else if (_valueTypeDeserializer != null) {_x000a_            value = _valueDeserializer.deserializeWithType(p, ctxt, _valueTypeDeserializer);_x000a_        } else {_x000a_            try {_x000a_                value = _creator.newInstance(instance);_x000a_            } catch (Exception e) {_x000a_                ClassUtil.unwrapAndThrowAsIAE(e, &quot;Failed to instantiate class &quot;+_creator.getDeclaringClass().getName()+&quot;, problem: &quot;+e.getMessage());_x000a_                value = null; // should not occur_x000a_            }_x000a_            _valueDeserializer.deserialize(p, ctxt, value);_x000a_        }_x000a_        return setAndReturn(instance, value);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d v="2026-02-16T08:37:08"/>
    <n v="0"/>
    <n v="0"/>
    <n v="1"/>
    <n v="1"/>
    <n v="1"/>
  </r>
  <r>
    <x v="7"/>
    <n v="74"/>
    <s v="_x000a_Bug report URL: https://github.com/FasterXML/jackson-databind/issues/1533_x000a__x000a_Original files:_x000a_---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 25-Apr-2017, tatu: As per [databind#1533], need to allow for cases where we are_x000a_             *   being called with other than START_OBJECT.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_x000a_        // 25-Apr-2017, tatu: As per [databind#1533], it's possible we just hit END_OBJECT,_x000a_        // and need to simply use default impl._x000a_        if (p.hasToken(JsonToken.END_OBJECT)) {_x000a_            // we will simply return `null` for now_x000a_            return null;_x000a_        }_x000a__x000a_        // 25-Apr-2017, tatu: ... and if not, THEN we can complain._x000a_        // As per [databind#1533], this can be reached if we get non-object value._x000a_        // But what should we do? for now, let's just through &quot;missing property&quot;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
    <m/>
    <s v="success"/>
    <n v="2"/>
    <s v="com.fasterxml.jackson.databind.jsontype.TestPolymorphicWithDefaultImpl::testWithEmptyStringAsNullObject1533;com.fasterxml.jackson.databind.jsontype.TestSubtypes::testDefaultImplViaModule"/>
    <d v="2026-03-05T02:47:58"/>
    <s v="JacksonDatabind"/>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_x000a_        try {_x000a_            deser = _findDeserializer(ctxt, typeId);_x000a_        } catch (Exception e) {_x000a_            // 21-Feb-2017, tatu: As per [databind#1533], may need to fall back to default_x000a_            //    implementation_x000a_            return _deserializeTypedUsingDefaultImpl(p, ctxt, tb, &quot;problem processing &quot;+_typePropertyName+&quot; ('&quot;+typeId+&quot;')&quot;);_x000a_        }_x000a_        if (_typeIdVisible) { // need to merge id back in JSON input?_x000a_            if (tb == null) {_x000a_                tb = new TokenBuffer(p, ctxt);_x000a_            }_x000a_            tb.writeFieldName(p.getCurrentName());_x000a_            tb.writeString(typeId);_x000a_        }_x000a_        if (tb != null) { // need to put back skipped properties?_x000a_            p = JsonParserSequence.createFlattened(false, tb.asParser(p), p);_x000a_        }_x000a_        p.nextToken(); // to skip past String value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return _deserializeTypedUsingDefaultImpl(p, ctxt, tb, null);_x000a_    }_x000a__x000a_    protected Object _deserializeTypedUsingDefaultImpl(JsonParser p, DeserializationContext ctxt,_x000a_            TokenBuffer tb, String priorFailureMsg) throws IOException_x000a_    {_x000a_        // As per [databind#1533], need to allow use of default impl in case of failure_x000a_        // a) only if there is a default impl (and, probably, not abstract base type)_x000a_        // b) only if we have seen something that looks like an Object_x000a_        if (!hasDefaultImpl()) {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 and if not, tough luck_x000a_            String msg = String.format(&quot;missing property \'%s\' that is to contain type id  (for class %s)&quot;,_x000a_                    _typePropertyName, baseTypeName());_x000a_            if (priorFailureMsg != null) {_x000a_                msg = String.format(&quot;%s; problem: %s&quot;, msg, priorFailureMsg);_x000a_            }_x000a_            ctxt.reportWrongTokenException(p, JsonToken.FIELD_NAME, msg);_x000a_            return null;_x000a_        }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This should not happen, given that we check `hasDefaultImpl()`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FILE_END---"/>
    <m/>
    <s v="failed"/>
    <n v="0"/>
    <m/>
    <d v="2026-02-16T08:41:40"/>
    <n v="1"/>
    <n v="2"/>
    <n v="2"/>
    <n v="0"/>
    <n v="2"/>
  </r>
  <r>
    <x v="7"/>
    <n v="75"/>
    <s v="_x000a_Bug report URL: https://github.com/FasterXML/jackson-databind/issues/1543_x000a__x000a_Original files:_x000a_---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_x000a_                // [databind#1543]: also, `OBJECT` can be used_x000a_                || shape == Shape.OBJECT) {_x000a_            return null;_x000a_        }_x000a_        // 19-May-2016, tatu: also consider &quot;natural&quot; shape_x000a_        if (shape == Shape.STRING || shape == Shape.NATURAL) {_x000a_            return Boolean.FALSE;_x000a_        }_x000a_        if (shape.isNumeric() || (shape == Shape.ARRAY)) {_x000a_            return Boolean.TRUE;_x000a_        }_x000a_        // 19-Jun-2017, tatu: As per [databind#1543], `OBJECT` is also fine (and given same_x000a_        //   meaning as `ANY` or `SCALAR`), but for other shapes, let's fail._x000a_        //   (and yes, `ARRAY` is basically 'serialize as index')_x000a_        throw new IllegalArgumentException(String.format(_x000a_                &quot;Unsupported serialization shape (%s) for Enum %s, not supported as %s annotation&quot;,_x000a_                    shape, enumClass.getName(), (fromClass? &quot;class&quot; : &quot;property&quot;)));_x000a_    }_x000a_}_x000a_---FILE_END---"/>
    <m/>
    <s v="success"/>
    <n v="1"/>
    <s v="com.fasterxml.jackson.databind.struct.EnumFormatShapeTest::testEnumPropertyAsNumber"/>
    <d v="2026-03-05T02:52:28"/>
    <s v="JacksonDatabind"/>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databind#1543]: Allow use of toString() for Enums_x000a_        EnumValues v;_x000a_        if (config.isEnabled(SerializationFeature.WRITE_ENUMS_USING_TO_STRING)) {_x000a_            v = EnumValues.constructFromToString(config, (Class&lt;Enum&lt;?&gt;&gt;) enumClass);_x000a_        } else {_x000a_            /* 08-Apr-2015, tatu: As per [databind#749], we can not statically determine_x000a_             *   between name() and toString(), need to construct `EnumValues` with names,_x000a_             *   handle toString() case dynamically (for example)_x000a_             */_x000a_            v = EnumValues.constructFromName(config, (Class&lt;Enum&lt;?&gt;&gt;) enumClass);_x000a_        }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databind#1543]: or via toString()?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 [databind#1543]: simple case, after all._x000a_            for (SerializableString value : _values.values()) {_x000a_                enums.add(value.getValue());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success"/>
    <n v="2"/>
    <s v="com.fasterxml.jackson.databind.ser.TestEnumSerialization::testToStringEnum;com.fasterxml.jackson.databind.struct.EnumFormatShapeTest::testEnumPropertyAsNumber"/>
    <d v="2026-02-16T08:45:50"/>
    <n v="0"/>
    <n v="1"/>
    <n v="2"/>
    <n v="1"/>
    <n v="2"/>
  </r>
  <r>
    <x v="7"/>
    <n v="84"/>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_x000a_        if (o.getClass() == getClass()) {_x000a_            // 15-Apr-2017, tatu: Actually, we must be able to compare resolved_x000a_            //   recursive types, to handle cases like arrays of recursive types._x000a_            if (_referencedType == null) { // can't be equal if unresolved_x000a_                return false;_x000a_            }_x000a_            return _referencedType.equals(((ResolvedRecursiveType) o).getSelfReferencedType());_x000a_        }_x000a_        // but if resolved, it may well equal to another type..._x000a_        if (_referencedType == null) {_x000a_            return false;_x000a_        }_x000a_        return _referencedType.equals(o);_x000a_    }_x000a_}_x000a__x000a__x000a_---FILE_END---"/>
    <m/>
    <s v="success"/>
    <n v="1"/>
    <s v="com.fasterxml.jackson.databind.type.TestTypeFactoryWithRecursiveTypes::testBasePropertiesIncludedWhenSerializingSubWhenSubTypeLoadedAfterBaseType"/>
    <d v="2026-03-05T02:57:55"/>
    <s v="JacksonDatabind"/>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if (o.getClass() != getClass()) {_x000a_            return false;_x000a_        }_x000a_        // 13-Jun-2017, tatu: As per [databind#1647], can not delegate to referencedType,_x000a_        //   as that may lead to infinite recursion. So, do a simple check instead._x000a_        //   (note: .equals() is only called when caching types, so this does not affect_x000a_        //   any other aspects of functionality)_x000a_        return ((ResolvedRecursiveType) o).getSelfReferencedType() == _referencedType;_x000a_    }_x000a_}_x000a_---FILE_END---"/>
    <m/>
    <s v="success"/>
    <n v="1"/>
    <s v="com.fasterxml.jackson.databind.type.TestTypeFactoryWithRecursiveTypes::testBasePropertiesIncludedWhenSerializingSubWhenSubTypeLoadedAfterBaseType"/>
    <d v="2026-02-16T08:49:12"/>
    <n v="0"/>
    <n v="0"/>
    <n v="1"/>
    <n v="1"/>
    <n v="1"/>
  </r>
  <r>
    <x v="7"/>
    <n v="85"/>
    <s v="_x000a_Bug report URL: https://github.com/FasterXML/jackson-databind/issues/1648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serializers.reportBadDefinition(handledType(), String.format(_x000a_            // Ugh. No way to change `Locale`, create copy; must re-crete completely: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if shape is &quot;string&quot;, even without pattern, must use default pattern_x000a_        if (shape == JsonFormat.Shape.STRING) {_x000a_            // Try to use default `StdDateFormat` if no other settings passed_x000a_            if (!format.hasPattern() &amp;&amp; !format.hasLocale() &amp;&amp; !format.hasTimeZone()) {_x000a_                // 11-Jun-2017, tatu: As per [databind#1648], this is needed to indicate_x000a_                //    that we want to use String format, not timestamp, even if_x000a_                //    there is no custom format._x000a_                // ... so we'll just use the default format, but this indicates choice_x000a_                //_x000a_                // 19-Jun-2017, tatu: As per [databind#1648] need to be careful to not override_x000a_                //   pre-existing `_customFormat`_x000a_                if (_customFormat == null) {_x000a_                    return withFormat(Boolean.FALSE, null);_x000a_                }_x000a_            }_x000a_        }_x000a__x000a_        // First: custom pattern will override things_x000a_        if (format.hasPattern()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serializers.reportBadDefinition(handledType(), String.format(_x000a_            // Ugh. No way to change `Locale`, create copy; must re-crete completely: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2"/>
    <s v="com.fasterxml.jackson.databind.ser.DateSerializationTest::testDateWithJsonFormat;com.fasterxml.jackson.databind.ser.DateSerializationTest::testFormatWithoutPattern"/>
    <d v="2026-03-05T03:03:40"/>
    <s v="JacksonDatabind"/>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String pattern = format.getPattern();_x000a_            final Locale loc = format.hasLocale()_x000a_                            ? format.getLocale()_x000a_                            : serializers.getLocale();_x000a_            SimpleDateFormat df = new SimpleDateFormat(pattern, loc);_x000a_            TimeZone tz = format.hasTimeZone()_x000a_                            ? format.getTimeZone()_x000a_                            : serializers.getTimeZone();_x000a_            df.setTimeZone(tz);_x000a_            return withFormat(Boolean.FALSE, df);_x000a_        }_x000a_        _x000a_        // If not, shape may be important_x000a_        if (shape == JsonFormat.Shape.STRING) { // almost same as above_x000a_            TimeZone tz = format.getTimeZone();_x000a_            // 08-Jun-2017, tatu: timezone via `@JsonFormat` should have priority_x000a_            //   over format configured for `ObjectMapper`_x000a_            //  ... so, if we have one, we MUST create a new `DateFormat` instance_x000a_            if (tz != null) {_x000a_                DateFormat df = serializers.getConfig().getDateFormat();_x000a_                // we have to clone it, to not mess with it globally_x000a_                if (df instanceof StdDateFormat) {_x000a_                    StdDateFormat std = (StdDateFormat) df;_x000a_                    std = std.withTimeZone(tz);_x000a_                    // 11-Jun-2017, tatu: to prevent sharing, must re-create if no pattern_x000a_                    std = std.withLocale(format.hasLocale() ? format.getLocale() : serializers.getLocale());_x000a_                    df = std;_x000a_                } else if (df instanceof SimpleDateFormat) {_x000a_                    // 08-Jun-2017, tatu: Unfortunately there's no generally usable_x000a_                    //    mechanism for changing `DateFormat` instances (or even clone()ing)_x000a_                    //    So: require it be `SimpleDateFormat`; can't config other types_x000a_                    df = (SimpleDateFormat) df.clone();_x000a_                    df.setTimeZone(tz);_x000a_                }_x000a_                return withFormat(Boolean.FALSE, df);_x000a_            }_x000a_        }_x000a_        _x000a_        // Otherwise, need one of these changes:_x000a_        // (well, actually, not yet, but soon)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3"/>
    <s v="com.fasterxml.jackson.databind.ser.DateSerializationTest::testDateWithJsonFormat;com.fasterxml.jackson.databind.ser.DateSerializationTest::testFormatWithoutPattern;com.fasterxml.jackson.databind.ser.DateSerializationTest::testDateDefaultShape"/>
    <d v="2026-02-16T08:53:39"/>
    <n v="0"/>
    <n v="1"/>
    <n v="3"/>
    <n v="2"/>
    <n v="1.5"/>
  </r>
  <r>
    <x v="7"/>
    <n v="86"/>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append(']').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
    <m/>
    <s v="success"/>
    <n v="2"/>
    <s v="com.fasterxml.jackson.databind.type.RecursiveTypeTest::testSuperClassWithReferencedJavaType;com.fasterxml.jackson.databind.type.TestTypeFactoryWithRecursiveTypes::testBasePropertiesIncludedWhenSerializingSubWhenSubTypeLoadedAfterBaseType"/>
    <d v="2026-03-05T03:06:41"/>
    <s v="JacksonDatabind"/>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if (o.getClass() != getClass()) {_x000a_            return false;_x000a_        }_x000a_        ResolvedRecursiveType other = (ResolvedRecursiveType) o;_x000a_        if (other._referencedType == null) {_x000a_            return false;_x000a_        }_x000a_        return _referencedType.equals(other._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2-16T08:56:44"/>
    <n v="0"/>
    <n v="0"/>
    <n v="2"/>
    <n v="2"/>
    <n v="1"/>
  </r>
  <r>
    <x v="7"/>
    <n v="88"/>
    <s v="_x000a_Bug report URL: https://github.com/FasterXML/jackson-databind/issues/1735_x000a__x000a_Original files:_x000a_---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17-Aug-2017, tatu: As per [databind#1735], must ensure it's a subtype_x000a_            if (!_baseType.isContainerType()) {_x000a_                if (!_baseType.getRawClass().isAssignableFrom(t.getRawClass())) {_x000a_                    throw new IllegalArgumentException(String.format(_x000a_&quot;Class %s not subtype of %s&quot;, t.toCanonical(), _baseType.toCanonical()));_x000a_                }_x000a_            }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 17-Aug-2017, tatu: As per [databind#1735], must ensure it's a subtype_x000a_        if (_baseType.isContainerType()) {_x000a_            return tf.constructSpecializedType(_baseType, cls);_x000a_        }_x000a_        if (!_baseType.getRawClass().isAssignableFrom(cls)) {_x000a_            throw new IllegalArgumentException(String.format(_x000a_&quot;Class %s not subtype of %s&quot;, cls.getName(), _baseType.toCanonical()));_x000a_        }_x000a_        return tf.constructType(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0"/>
    <m/>
    <d v="2026-03-05T03:10:49"/>
    <s v="JacksonDatabind"/>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02-Oct-2017, tatu: And we must also ensure that type is assignable to base type._x000a_            //     Mostly matters for cases where base type is `java.lang.Object`, in which_x000a_            //     case any type is legal._x000a_            if (!_baseType.getRawClass().isAssignableFrom(t.getRawClass())) {_x000a_                throw new IllegalArgumentException(String.format(&quot;Class %s not subtype of %s&quot;, t.getRawClass().getName(), _baseType));_x000a_            }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0"/>
    <m/>
    <d v="2026-02-16T09:01:15"/>
    <n v="0"/>
    <n v="0"/>
    <n v="0"/>
    <n v="0"/>
    <n v="0"/>
  </r>
  <r>
    <x v="7"/>
    <n v="93"/>
    <s v="_x000a_Bug report URL: https://github.com/FasterXML/jackson-databind/issues/1872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 [databind#1872]: Spring-related_x000a_        s.add(&quot;org.springframework.context.support.DefaultLifecycleProcesso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JDKTypes1872"/>
    <d v="2026-03-05T03:17:41"/>
    <s v="JacksonDatabind"/>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_x000a_        s.add(&quot;org.springframework.beans.factory.config.PropertyPathFactoryBean&quot;);_x000a_        // [databind#1872]: more Spring-framework classes_x000a_        s.add(&quot;org.springframework.aop.target.HotSwappableTargetSource&quot;);_x000a_        s.add(&quot;org.springframework.jndi.JndiObject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databind#1872]: prevent all subtypes of `java.lang.ClassLoader`_x000a_            if (ClassLoader.class.isAssignableFrom(raw)) {_x000a_                break main_chec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JDKTypes1872"/>
    <d v="2026-02-16T09:05:25"/>
    <n v="0"/>
    <n v="0"/>
    <n v="1"/>
    <n v="1"/>
    <n v="1"/>
  </r>
  <r>
    <x v="7"/>
    <n v="94"/>
    <s v="_x000a_Bug report URL: https://github.com/FasterXML/jackson-databind/issues/1931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s.add(&quot;com.mchange.v2.c3p0.JndiRefForwardingDataSource&quot;); // deprecated by [databind#1931]_x000a_// s.add(&quot;com.mchange.v2.c3p0.WrapperConnectionPoolDataSource&quot;); // - &quot;&quot; -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 [databind#1737]; more 3rd party_x000a_                // s.add(&quot;com.mchange.v2.c3p0.JndiRefForwardingDataSource&quot;);_x000a_                // s.add(&quot;com.mchange.v2.c3p0.WrapperConnectionPoolDataSource&quot;);_x000a_                // [databind#1931]; more 3rd party_x000a_                // com.mchange.v2.c3p0.ComboPooledDataSource_x000a_                // com.mchange.v2.c3p0.debug.AfterCloseLoggingComboPooledDataSource _x000a_                }_x000a_            }_x000a_            return;_x000a_        } while (false);_x000a__x000a_        throw JsonMappingException.from(ctxt,_x000a_                String.format(&quot;Illegal type (%s) to deserialize: prevented for security reasons&quot;, f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protected final static String PREFIX_C3P0 = &quot;com.mchange.v2.c3p0.&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 [databind#1737]; more 3rd party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 else if (full.startsWith(PREFIX_C3P0)) {_x000a_                // [databind#1931]; more 3rd party_x000a_                if (full.endsWith(&quot;DataSource&quot;)) {_x000a_                    break main_check;_x000a_                }_x000a_            }_x000a_            return;_x000a_        } while (false);_x000a__x000a_        throw JsonMappingException.from(ctxt,_x000a_                String.format(&quot;Illegal type (%s) to deserialize: prevented for security reasons&quot;, full));_x000a_    }_x000a_}_x000a__x000a__x000a_---FILE_END---"/>
    <m/>
    <s v="success"/>
    <n v="0"/>
    <m/>
    <d v="2026-03-05T03:21:45"/>
    <s v="JacksonDatabind"/>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protected final static String PREFIX_C3P0 = &quot;com.mchange.v2.c3p0.&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 else if (full.startsWith(PREFIX_C3P0)) {_x000a_                // [databind#1931]_x000a_                for (Class&lt;?&gt; cls = raw; (cls != null) &amp;&amp; (cls != Object.class); cls = cls.getSuperclass()) {_x000a_                    String name = cls.getSimpleName();_x000a_                    if (&quot;PoolBackedDataSource&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2-16T09:09:24"/>
    <n v="0"/>
    <n v="1"/>
    <n v="1"/>
    <n v="0"/>
    <n v="1"/>
  </r>
  <r>
    <x v="7"/>
    <n v="97"/>
    <s v="_x000a_Bug report URL: https://github.com/FasterXML/jackson-databind/issues/1991_x000a__x000a_Original files:_x000a_---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gen.writeObject(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d v="2026-03-05T03:25:51"/>
    <s v="JacksonDatabind"/>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 (and things like root value serializ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d v="2026-02-16T09:13:43"/>
    <n v="0"/>
    <n v="0"/>
    <n v="0"/>
    <n v="0"/>
    <n v="0"/>
  </r>
  <r>
    <x v="7"/>
    <n v="99"/>
    <s v="_x000a_Bug report URL: https://github.com/FasterXML/jackson-databind/issues/2109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TypeFactory::testCanonicalNames"/>
    <d v="2026-03-05T03:30:43"/>
    <s v="JacksonDatabind"/>
    <n v="99"/>
    <s v="_x000a_            Bug report URL: https://github.com/FasterXML/jackson-databind/issues/2109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quot;base&quot; reference type\n     *\n     * @since 2.7\n     */\n    protected ReferenceType(TypeBase base, JavaType refType)\n    {\n        super(base);\n        _referencedType = refType;\n        // we\'ll establish this as the anchor type\n        _anchorType = this;\n    }\n\n    /**\n     * Factory method that can be used to &quot;upgrade&quot;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quot;Missing referencedType&quot;);\n        }\n        // 19-Oct-2015, tatu: Not sure if and how other types could be used as base;\n        //    will cross that bridge if and when need be\n        if (baseType instanceof TypeBase) {\n            return new ReferenceType((TypeBase) baseType, refdType);\n        }\n        throw new IllegalArgumentException(&quot;Can not upgrade from an instance of &quot;+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quot;&gt;;&quo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TypeFactory::testCanonicalNames"/>
    <d v="2026-02-16T09:16:55"/>
    <n v="0"/>
    <n v="0"/>
    <n v="1"/>
    <n v="1"/>
    <n v="1"/>
  </r>
  <r>
    <x v="7"/>
    <n v="102"/>
    <s v="_x000a_Bug report URL: https://github.com/FasterXML/jackson-databind/issues/2064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clone();_x000a_        if (hasLocale) {_x000a_            // 22-Jun-2018, tatu: Not sure if this is reliable enough, but seems to be the_x000a_            //    only way to change Locale for `SimpleDateFormat`_x000a_            df = new SimpleDateFormat(df.toPattern(), format.getLocal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FILE_END---"/>
    <m/>
    <s v="success"/>
    <n v="1"/>
    <s v="com.fasterxml.jackson.databind.ser.jdk.SqlDateSerializationTest::testSqlDateConfigOverride"/>
    <d v="2026-03-05T01:42:14"/>
    <s v="JacksonDatabind"/>
    <n v="102"/>
    <s v="_x000a_            Bug report URL: https://github.com/FasterXML/jackson-databind/issues/2064_x000a__x000a_            Original files:_x000a_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quot;Configured `DateFormat` (%s) not a `SimpleDateFormat`; cannot configure `Locale` or `TimeZone`&quot;,\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quot;empty&quot;;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     */_x000a_    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        // 12-Jun-2018, tatu: [databind#2064] Need to make sure we have per-thread instance_x000a_        // ... and with that, we better not try to reuse it._x000a_        // Note: we are re-implementing `provider.defaultSerializeDateValue()` here, basically,_x000a_        // but we can't call it as it would not use this serializer._x000a_        DateFormat df = (DateFormat) _customFormat.clone();_x000a_        // 13-Jun-2018, tatu: [databind#2064] But not only that, must also use per-call_x000a_        //    TimeZone..._x000a_        df.setTimeZone(provider.getTimeZone());_x000a_        g.writeString(df.format(value));_x000a_    }_x000a_}_x000a_---FILE_END---"/>
    <m/>
    <s v="success"/>
    <n v="4"/>
    <s v="com.fasterxml.jackson.databind.ser.jdk.DateSerializationTest::testDateWithJsonFormat;com.fasterxml.jackson.databind.ser.jdk.DateSerializationTest::testFormatWithoutPattern;com.fasterxml.jackson.databind.ser.jdk.DateSerializationTest::testDateDefaultShape;com.fasterxml.jackson.databind.ser.jdk.SqlDateSerializationTest::testSqlDateConfigOverride"/>
    <d v="2026-02-16T09:21:40"/>
    <n v="0"/>
    <n v="3"/>
    <n v="4"/>
    <n v="1"/>
    <n v="4"/>
  </r>
  <r>
    <x v="7"/>
    <n v="105"/>
    <s v="_x000a_Bug report URL: https://github.com/FasterXML/jackson-databind/issues/2197_x000a__x000a_Original files:_x000a_---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Void.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if (rawType == Void.class) {_x000a_                return NullifyingDeserializer.instance;_x000a_            }_x000a_        }_x000a_        return null;_x000a_    }_x000a_}_x000a__x000a__x000a_---FILE_END---"/>
    <m/>
    <s v="success"/>
    <n v="0"/>
    <m/>
    <d v="2026-03-05T01:46:28"/>
    <s v="JacksonDatabind"/>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Void.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if (rawType == Void.class) {_x000a_                return NullifyingDeserializer.instance;_x000a_            }_x000a_        }_x000a_        return null;_x000a_    }_x000a_}_x000a__x000a_---FILE_END---"/>
    <m/>
    <s v="success"/>
    <n v="0"/>
    <m/>
    <d v="2026-02-16T09:25:09"/>
    <n v="0"/>
    <n v="0"/>
    <n v="0"/>
    <n v="0"/>
    <n v="0"/>
  </r>
  <r>
    <x v="7"/>
    <n v="110"/>
    <s v="_x000a_Bug report URL: https://github.com/FasterXML/jackson-databind/issues/2265_x000a__x000a_Original files:_x000a_---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    private final static Class&lt;?&gt; CLASS_UNMODIFIABLE_LIST_RANDOM;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_x000a_        // [databind#2265]_x000a_        List&lt;?&gt; list2 = new ArrayList&lt;&gt;();_x000a_        CLASS_UNMODIFIABLE_LIST_RANDOM = Collections.unmodifiableList(list2).getClass();_x000a_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else if (type.hasRawClass(CLASS_UNMODIFIABLE_LIST)_x000a_                || type.hasRawClass(CLASS_UNMODIFIABLE_LIST_RANDOM))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FILE_END---"/>
    <m/>
    <s v="success"/>
    <n v="1"/>
    <s v="com.fasterxml.jackson.databind.deser.jdk.UtilCollectionsTypesTest::testUnmodifiableListFromLinkedList"/>
    <d v="2026-03-05T01:51:47"/>
    <s v="JacksonDatabind"/>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    private final static Class&lt;?&gt; CLASS_UNMODIFIABLE_MAP;_x000a__x000a_    /* 02-Mar-2019, tatu: for [databind#2265], need to consider possible alternate type..._x000a_     *    which we essentially coerce into the other one._x000a_     *    ... and there are multiple, so need to check 3 main ones._x000a_     */_x000a_    private final static Class&lt;?&gt; CLASS_UNMODIFIABLE_LIST_ALIAS;_x000a_    private final static Class&lt;?&gt; CLASS_UNMODIFIABLE_MAP_ALIAS;_x000a__x000a_    static {_x000a_        Set&lt;?&gt; set = Collections.singleton(Boolean.TRUE);_x000a_        CLASS_SINGLETON_SET = set.getClass();_x000a__x000a_        List&lt;?&gt; list = Collections.singletonList(Boolean.TRUE);_x000a_        CLASS_SINGLETON_LIST = list.getClass();_x000a_        _x000a_        Map&lt;?,?&gt; map = Collections.singletonMap(&quot;a&quot;, &quot;b&quot;);_x000a_        CLASS_SINGLETON_MAP = map.getClass();_x000a__x000a_        // c.f. [databind#2265]_x000a_        CLASS_UNMODIFIABLE_SET = Collections.unmodifiableSet(new HashSet&lt;Object&gt;()).getClass();_x000a__x000a_        // One of two UnmodifiableList impls_x000a_        list = Collections.unmodifiableList(new LinkedList&lt;Object&gt;());_x000a_        CLASS_UNMODIFIABLE_LIST = list.getClass();_x000a_        // The other UnmodifiableList impl_x000a_        list = Collections.unmodifiableList(new ArrayList&lt;Object&gt;());_x000a_        CLASS_UNMODIFIABLE_LIST_ALIAS = list.getClass();_x000a__x000a_        // And then couple of UnmodifiableMap impls_x000a_        map = Collections.unmodifiableMap(new HashMap&lt;String,Object&gt;());_x000a_        CLASS_UNMODIFIABLE_MAP = map.getClass();_x000a_        map = Collections.unmodifiableMap(new TreeMap&lt;String,Object&gt;());_x000a_        CLASS_UNMODIFIABLE_MAP_ALIAS = 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_x000a_                || type.hasRawClass(CLASS_UNMODIFIABLE_LIST_ALIAS))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databind#2265]: we may have another impl type for unmodifiable Maps, check both_x000a_        } else if (type.hasRawClass(CLASS_UNMODIFIABLE_MAP)_x000a_                || type.hasRawClass(CLASS_UNMODIFIABLE_MAP_ALIAS))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FILE_END---"/>
    <m/>
    <s v="success"/>
    <n v="0"/>
    <m/>
    <d v="2026-02-16T09:30:21"/>
    <n v="0"/>
    <n v="1"/>
    <n v="1"/>
    <n v="0"/>
    <n v="1"/>
  </r>
  <r>
    <x v="8"/>
    <n v="5"/>
    <s v="_x000a_Bug report URL: https://github.com/FasterXML/jackson-dataformat-xml/issues/282_x000a__x000a_Original files:_x000a_---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_rootNameLookup = 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new Xml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_rootNameLookup = new Xml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success"/>
    <n v="0"/>
    <m/>
    <d v="2026-03-05T03:33:28"/>
    <s v="JacksonXml"/>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 23-Nov-2018, tatu: As per [dataformat-xml#282], can not share this_x000a_        _rootNameLookup  = new Xml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23-Nov-2018, tatu: ... which was not being done._x000a_        _rootNameLookup = new Xml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success"/>
    <n v="0"/>
    <m/>
    <d v="2026-02-16T09:31:53"/>
    <n v="0"/>
    <n v="0"/>
    <n v="0"/>
    <n v="0"/>
    <n v="0"/>
  </r>
  <r>
    <x v="9"/>
    <n v="1"/>
    <s v="_x000a_Bug report URL: https://github.com/jhy/jsoup/issues/23_x000a__x000a_Original files:_x000a_---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int i = toMove.size() - 1; i &gt;= 0; i--) {_x000a_            Node node = toMove.get(i);_x000a_            element.removeChild(node);_x000a_            body().prependChild(node);_x000a_            body().prependChild(new TextNode(&quot; &quot;, &quot;&quot;));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0"/>
    <m/>
    <d v="2026-03-05T03:37:03"/>
    <s v="Jsoup"/>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int i = toMove.size()-1; i &gt;= 0; i--) {_x000a_            Node node = toMove.get(i);_x000a_            element.removeChild(node);_x000a_            body().prependChild(node);_x000a_            body().prependChild(new TextNode(&quot; &quot;, &quot;&quot;));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0"/>
    <m/>
    <d v="2026-02-16T09:34:04"/>
    <n v="0"/>
    <n v="0"/>
    <n v="0"/>
    <n v="0"/>
    <n v="0"/>
  </r>
  <r>
    <x v="9"/>
    <n v="16"/>
    <s v="_x000a_Bug report URL: https://github.com/jhy/jsoup/issues/109_x000a__x000a_Original files:_x000a_---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html&quot;);_x000a_        if (!StringUtil.isBlank(attr(&quot;publicId&quot;)))_x000a_            accum.append(&quot; PUBLIC \&quot;&quot;).append(attr(&quot;publicId&quot;)).append(&quot;\&quot;&quot;);_x000a_        if (!StringUtil.isBlank(attr(&quot;systemId&quot;)))_x000a_            accum.append(' ').append(attr(&quot;systemId&quot;)).append(&quot;\&quot;&quot;);_x000a_        accum.append('&gt;');_x000a_    }_x000a__x000a_    @Override_x000a_    void outerHtmlTail(StringBuilder accum, int depth, Document.OutputSettings out)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 {_x000a_            accum.append(&quot; PUBLIC \&quot;&quot;).append(attr(&quot;publicId&quot;)).append('&quot;');_x000a_        }_x000a_        if (!StringUtil.isBlank(attr(&quot;systemId&quot;))) {_x000a_            if (StringUtil.isBlank(attr(&quot;publicId&quot;)))_x000a_                accum.append(&quot; SYSTEM&quot;);_x000a_            accum.append(&quot; \&quot;&quot;).append(attr(&quot;systemId&quot;)).append('&quot;');_x000a_        }_x000a_        accum.append('&gt;');_x000a_    }_x000a__x000a_    @Override_x000a_    void outerHtmlTail(StringBuilder accum, int depth, Document.OutputSettings out) {_x000a_    }_x000a_}_x000a_---FILE_END---"/>
    <m/>
    <s v="success"/>
    <n v="2"/>
    <s v="org.jsoup.nodes.DocumentTypeTest::outerHtmlGeneration;org.jsoup.nodes.DocumentTypeTest::constructorValidationThrowsExceptionOnBlankName"/>
    <d v="2026-03-05T03:38:21"/>
    <s v="Jsoup"/>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quot;&quot;);_x000a_        if (!StringUtil.isBlank(attr(&quot;systemId&quot;))) {_x000a_            if (StringUtil.isBlank(attr(&quot;publicId&quot;)))_x000a_                accum.append(&quot; SYSTEM&quot;);_x000a_            accum.append(&quot; \&quot;&quot;).append(attr(&quot;systemId&quot;)).append(&quot;\&quot;&quot;);_x000a_        }_x000a_        accum.append('&gt;');_x000a_    }_x000a__x000a_    @Override_x000a_    void outerHtmlTail(StringBuilder accum, int depth, Document.OutputSettings out) {_x000a_    }_x000a_}_x000a_---FILE_END---"/>
    <m/>
    <s v="success"/>
    <n v="2"/>
    <s v="org.jsoup.nodes.DocumentTypeTest::outerHtmlGeneration;org.jsoup.nodes.DocumentTypeTest::constructorValidationThrowsExceptionOnBlankName"/>
    <d v="2026-02-16T09:35:11"/>
    <n v="0"/>
    <n v="0"/>
    <n v="2"/>
    <n v="2"/>
    <n v="1"/>
  </r>
  <r>
    <x v="9"/>
    <n v="18"/>
    <s v="_x000a_Bug report URL: https://github.com/jhy/jsoup/issues/110_x000a__x000a_Original files:_x000a_---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 - 1);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3-05T03:39:40"/>
    <s v="Jsoup"/>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length);_x000a_        pos = 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2-16T09:36:14"/>
    <n v="0"/>
    <n v="0"/>
    <n v="2"/>
    <n v="2"/>
    <n v="1"/>
  </r>
  <r>
    <x v="9"/>
    <n v="20"/>
    <s v="_x000a_Bug report URL: https://github.com/jhy/jsoup/issues/134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 look for &lt;meta http-equiv=&quot;Content-Type&quot; content=&quot;text/html;charset=gb2312&quot;&gt; or HTML5 &lt;meta charset=&quot;gb2312&quot;&gt;_x000a_                if (docData.length() &gt; 0 &amp;&amp; docData.charAt(0) == '\uFEFF') {_x000a_                    byteData.rewind();_x000a_                    docData = Charset.forName(defaultCharset).decode(byteData).toString().substring(1);_x000a_                    charsetName = defaultCharset;_x000a_                    doc = null;_x000a_                }_x000a_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uFEFF')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FILE_END---"/>
    <m/>
    <s v="success"/>
    <n v="0"/>
    <m/>
    <d v="2026-03-05T03:42:32"/>
    <s v="Jsoup"/>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startsWith(&quot;\ufeff&quot;))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FILE_END---"/>
    <m/>
    <s v="success"/>
    <n v="0"/>
    <m/>
    <d v="2026-02-16T09:39:00"/>
    <n v="0"/>
    <n v="0"/>
    <n v="0"/>
    <n v="0"/>
    <n v="0"/>
  </r>
  <r>
    <x v="9"/>
    <n v="25"/>
    <s v="_x000a_Bug report URL: https://github.com/jhy/jsoup/issues/167_x000a__x000a_Original files:_x000a_---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3"/>
    <s v="org.jsoup.parser.HtmlParserTest::preservesSpaceInTextArea;org.jsoup.parser.TagTest::trims;org.jsoup.parser.TagTest::valueOfChecksNotEmpty"/>
    <d v="2026-03-05T03:43:58"/>
    <s v="Jsoup"/>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String name = tagName.toLowerCase();_x000a_        Validate.notEmpty(name);_x000a_        String normalName = name.trim();_x000a__x000a_        synchronized (tags) {_x000a_            Tag tag = tags.get(normalName);_x000a_            if (tag == null) {_x000a_                // not defined: create default; go anywhere, do anything! (incl be inside a &lt;p&gt;)_x000a_                tag = new 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2"/>
    <s v="org.jsoup.parser.HtmlParserTest::preservesSpaceInTextArea;org.jsoup.parser.TagTest::valueOfChecksNotEmpty"/>
    <d v="2026-02-16T09:40:19"/>
    <n v="0"/>
    <n v="1"/>
    <n v="3"/>
    <n v="2"/>
    <n v="1.5"/>
  </r>
  <r>
    <x v="9"/>
    <n v="26"/>
    <s v="_x000a_Bug report URL: https://github.com/jhy/jsoup/issues/154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else if (sourceChild instanceof DataNode &amp;&amp; whitelist.isSafeTag(sourceChild.parent().nodeName())) {_x000a_                DataNode sourceData = (DataNode) sourceChild;_x000a_                DataNode destData = new DataNode(sourceData.getWholeData(), sourceChild.baseUri());_x000a_                dest.appendChild(destData);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
    <m/>
    <s v="success"/>
    <n v="1"/>
    <s v="org.jsoup.safety.CleanerTest::handlesFramesets"/>
    <d v="2026-03-05T03:46:45"/>
    <s v="Jsoup"/>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isSafe(sourceEl))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boolean isSafe(Element el) {_x000a_        return whitelist.isSafeTag(el.tagName()) || !whitelist.getEnforcedAttributes(el.tagName()).isEmpty();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failed"/>
    <n v="0"/>
    <m/>
    <d v="2026-02-16T09:42:55"/>
    <n v="1"/>
    <n v="1"/>
    <n v="1"/>
    <n v="0"/>
    <n v="1"/>
  </r>
  <r>
    <x v="9"/>
    <n v="27"/>
    <s v="_x000a_Bug report URL: https://github.com/jhy/jsoup/issues/215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return load(new FileInputStream(in), charsetName, baseUri);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try {_x000a_            ByteBuffer byteData = readToByteBuffer(in);_x000a_            return parseByteData(byteData, charsetName, baseUri, Parser.htmlParser());_x000a_        } finally {_x000a_            if (in != null)_x000a_                in.close();_x000a_        }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try {_x000a_            ByteBuffer byteData = readToByteBuffer(in);_x000a_            return parseByteData(byteData, charsetName, baseUri, parser);_x000a_        } finally {_x000a_            if (in != null)_x000a_                in.close();_x000a_        }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FILE_END---"/>
    <m/>
    <s v="success"/>
    <n v="2"/>
    <s v="org.jsoup.helper.DataUtilTest::testCharset;org.jsoup.helper.DataUtilTest::testQuotedCharset"/>
    <d v="2026-03-05T03:48:07"/>
    <s v="Jsoup"/>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_x000a_                    foundCharset = foundCharset.trim().replaceAll(&quot;[\&quot;']&quot;, &quot;&quot;);_x000a_                    if (Charset.isSupported(foundCharset)) { // need to re-decode_x000a_                        charsetName = foundCharset;_x000a_                        byteData.rewind();_x000a_                        docData = Charset.forName(foundCharset).decode(byteData).toString();_x000a_                        doc = null;_x000a_                    } // else, fall through to default if unsupported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 // sometimes it's formatted as charset=&quot;charset=UTF-8&quot;_x000a_            if (charset.length() == 0) return null;_x000a_            try {_x000a_                if (Charset.isSupported(charset)) return charset;_x000a_                charset = charset.toUpperCase(Locale.ENGLISH);_x000a_                if (Charset.isSupported(charset)) return charset;_x000a_            } catch (IllegalCharsetNameException e) {_x000a_                return null; // if we get an invalid charset name, e.g. &quot;big5; charset=big5&quot;_x000a_            }_x000a_        }_x000a_        return null;_x000a_    }_x000a_    _x000a_    _x000a_}_x000a_---FILE_END---"/>
    <m/>
    <s v="success"/>
    <n v="0"/>
    <m/>
    <d v="2026-02-16T09:44:31"/>
    <n v="0"/>
    <n v="2"/>
    <n v="2"/>
    <n v="0"/>
    <n v="2"/>
  </r>
  <r>
    <x v="9"/>
    <n v="30"/>
    <s v="_x000a_Bug report URL: https://github.com/jhy/jsoup/issues/246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TextNode destText = new TextNode(sourceText.getWholeText(), source.baseUri());_x000a_                destination.appendChild(destText);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import org.jsoup.select.NodeTraversor;_x000a_import org.jsoup.select.NodeVisitor;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sourceRoot, Element destRoot) {_x000a_        CleaningVisitor cleaningVisitor = new CleaningVisitor(sourceRoot, destRoot);_x000a_        NodeTraversor traversor = new NodeTraversor(cleaningVisitor);_x000a_        traversor.traverse(sourceRoot);_x000a_        return cleaningVisitor.numDiscarded;_x000a_    }_x000a__x000a_    private final class CleaningVisitor implements NodeVisitor {_x000a_        private int numDiscarded = 0;_x000a_        private final Element root;_x000a_        private Element destination; // current element to append nodes to_x000a__x000a_        private CleaningVisitor(Element root, Element destination) {_x000a_            this.root = root;_x000a_            this.destination = destination;_x000a_        }_x000a__x000a_        public void head(Node source, int depth)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destination = destChild;_x000a_                } else if (source != root) { // not a safe tag, so don't add element itself, but head down recursive descent_x000a_                    numDiscarded++;_x000a_                }_x000a_            } else if (source instanceof TextNode) {_x000a_                TextNode sourceText = (TextNode) source;_x000a_                TextNode destText = new TextNode(sourceText.getWholeText(), source.baseUri());_x000a_                destination.appendChild(destText);_x000a_            } else { // not a safe node, so discard_x000a_                numDiscarded++;_x000a_            }_x000a_        }_x000a__x000a_        public void tail(Node source, int depth) {_x000a_            if (source instanceof Element &amp;&amp; whitelist.isSafeTag(source.nodeName())) {_x000a_                destination = destination.parent(); // would be great if we could trust that pop() == parent(), but we can't._x000a_            }_x000a_        }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success"/>
    <n v="0"/>
    <m/>
    <d v="2026-03-05T03:50:45"/>
    <s v="Jsoup"/>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String text = sourceText.getWholeText();_x000a_                if (text.trim().length() &gt; 0) {_x000a_                    TextNode destText = new TextNode(text, source.baseUri());_x000a_                    destination.appendChild(destText);_x000a_                }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success"/>
    <n v="4"/>
    <s v="org.jsoup.safety.CleanerTest::basicBehaviourTest;org.jsoup.safety.CleanerTest::handlesCustomProtocols;org.jsoup.safety.CleanerTest::preservesRelativeLinksIfConfigured;org.jsoup.safety.CleanerTest::testIsValid"/>
    <d v="2026-02-16T09:46:56"/>
    <n v="0"/>
    <n v="4"/>
    <n v="4"/>
    <n v="0"/>
    <n v="4"/>
  </r>
  <r>
    <x v="9"/>
    <n v="34"/>
    <s v="_x000a_Bug report URL: https://github.com/jhy/jsoup/issues/349_x000a__x000a_Original files:_x000a_---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            int i = offset + 1;_x000a_            int last = i + seq.length()-1;_x000a_            if (offset &lt; length) {_x000a_                for (int j = 1; i &lt; last &amp;&amp; seq.charAt(j) == input[i]; i++, j++);_x000a_                if (i == last)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 char, then look for sequence_x000a_            if (input[offset] == startChar) {_x000a_                int i = offset + 1;_x000a_                int last = i + seq.length() - 1;_x000a_                if (offset + seq.length() &lt;= length) {_x000a_                    for (int j = 1; i &lt; last &amp;&amp; seq.charAt(j) == input[i]; i++, j++);_x000a_                    if (i == last)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
    <m/>
    <s v="success"/>
    <n v="0"/>
    <m/>
    <d v="2026-03-05T03:53:39"/>
    <s v="Jsoup"/>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 // KMP like, but not_x000a_            if (offset &lt; length) {_x000a_                int i = offset + 1;_x000a_                int last = i + seq.length()-1;_x000a_                if (last &lt; length) {_x000a_                    for (int j = 1; i &lt; last &amp;&amp; seq.charAt(j) == input[i]; i++, j++);_x000a_                    if (i == last)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        while (!isEmpty()) {_x000a_            boolean found = false;_x000a_            for (char c : chars) {_x000a_                if (input[pos] == c) {_x000a_                    found = true;_x000a_                    break;_x000a_                }_x000a_            }_x000a_            if (found)_x000a_                break;_x000a_            pos++;_x000a_        }_x000a_        return pos &gt; start ? new String(input, start, pos - 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1"/>
    <s v="org.jsoup.parser.CharacterReaderTest::containsIgnoreCase"/>
    <d v="2026-02-16T09:50:09"/>
    <n v="0"/>
    <n v="1"/>
    <n v="1"/>
    <n v="0"/>
    <n v="1"/>
  </r>
  <r>
    <x v="9"/>
    <n v="36"/>
    <s v="_x000a_Bug report URL: https://github.com/jhy/jsoup/issues/321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read = inStream.read(buffer)) != -1) {_x000a_            int write = capped &amp;&amp; read &gt; remaining ? remaining : read;_x000a_            outStream.write(buffer, 0, write);_x000a_            remaining -= write;_x000a__x000a_            if (capped) {_x000a_                if (remaining &lt;= 0) {_x000a_                    break;_x000a_                }_x000a_            }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_x000a__x000a_---FILE_END---"/>
    <m/>
    <s v="success"/>
    <n v="6"/>
    <s v="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
    <d v="2026-03-05T03:56:37"/>
    <s v="Jsoup"/>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if (charsetName == null)_x000a_            doc.outputSettings().charset(defaultCharset);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FILE_END---"/>
    <m/>
    <s v="success"/>
    <n v="6"/>
    <s v="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
    <d v="2026-02-16T09:53:05"/>
    <n v="0"/>
    <n v="0"/>
    <n v="6"/>
    <n v="6"/>
    <n v="1"/>
  </r>
  <r>
    <x v="9"/>
    <n v="39"/>
    <s v="_x000a_Bug report URL: https://github.com/jhy/jsoup/issues/348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foundCharset = foundCharset.trim().replaceAll(&quot;[\&quot;']&quot;, &quot;&quot;);_x000a_                    try {_x000a_                        charsetName = foundCharset;_x000a_                        byteData.rewind();_x000a_                        docData = Charset.forName(charsetName).decode(byteData).toString();_x000a_                        doc = null;_x000a_                    } catch (IllegalCharsetNameException e) {_x000a_                        // if our advanced charset matching fails.... we just take the default_x000a_                    }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FILE_END---"/>
    <m/>
    <s v="success"/>
    <n v="1"/>
    <s v="org.jsoup.helper.DataUtilTest::discardsSpuriousByteOrderMarkWhenNoCharsetSet"/>
    <d v="2026-03-05T04:00:06"/>
    <s v="Jsoup"/>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_x000a_        // check for BOM, and update charsetName if found_x000a_        String bomCharset = detectCharsetFromBom(byteData);_x000a_        if (bomCharset != null)_x000a_            charsetName = bomCharset;_x000a_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IgnoreCase(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     * Look for a Byte Order Mark (BOM) at the start of the stream, to detect the charset._x000a_     * http://www.unicode.org/unicode/faq/utf_bom.html_x000a_     *_x000a_     * @param byteData buffer to inspect._x000a_     * @return a charset name if a BOM is found, or null if not._x000a_     */_x000a_    private static String detectCharsetFromBom(final ByteBuffer byteData) {_x000a_        byteData.mark();_x000a_        final byte[] bom = new byte[4];_x000a_        if (byteData.remaining() &gt;= bom.length) {_x000a_            byteData.get(bom);_x000a_            byteData.rewind();_x000a_        }_x000a_        if ( // UTF-32, big-endian_x000a_                (bom[0] == 0x00 &amp;&amp; bom[1] == 0x00 &amp;&amp; bom[2] == (byte) 0xFE &amp;&amp; bom[3] == (byte) 0xFF) ||_x000a_                // UTF-32, little-endian_x000a_                (bom[0] == (byte) 0xFF &amp;&amp; bom[1] == (byte) 0xFE &amp;&amp; bom[2] == 0x00 &amp;&amp; bom[3] == 0x00)_x000a_                ) {_x000a_            return &quot;UTF-32&quot;; // 'UTF-32' implies big-endian, but Charset recognises BOM and detects endianness_x000a_        } else if ( // UTF-16, big-endian_x000a_                (bom[0] == (byte) 0xFE &amp;&amp; bom[1] == (byte) 0xFF) ||_x000a_                // UTF-16, little-endian_x000a_                (bom[0] == (byte) 0xFF &amp;&amp; bom[1] == (byte) 0xFE)_x000a_                ) {_x000a_            return &quot;UTF-16&quot;; // 'UTF-16' implies big-endian, but Charset recognises BOM and detects endianness_x000a_        } else if (bom[0] == (byte) 0xEF &amp;&amp; bom[1] == (byte) 0xBB &amp;&amp; bom[2] == (byte) 0xBF) {_x000a_            byteData.position(3); // skip BOM_x000a_            return &quot;UTF-8&quot;;_x000a_        }_x000a_        return null;_x000a_    }_x000a_}_x000a_---FILE_END---"/>
    <m/>
    <s v="failed"/>
    <n v="0"/>
    <m/>
    <d v="2026-02-16T09:55:24"/>
    <n v="1"/>
    <n v="1"/>
    <n v="1"/>
    <n v="0"/>
    <n v="1"/>
  </r>
  <r>
    <x v="9"/>
    <n v="40"/>
    <s v="_x000a_Bug report URL: https://github.com/jhy/jsoup/issues/460_x000a__x000a_Original files:_x000a_---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 {_x000a_            accum.append(&quot; PUBLIC \&quot;&quot;).append(attr(&quot;publicId&quot;)).append('&quot;');_x000a_        } else if (!StringUtil.isBlank(attr(&quot;systemId&quot;))) {_x000a_            accum.append(&quot; SYSTEM&quot;);_x000a_        }_x000a_        if (!StringUtil.isBlank(attr(&quot;systemId&quot;))) {_x000a_            accum.append(&quot; \&quot;&quot;).append(attr(&quot;systemId&quot;)).append('&quot;');_x000a_        }_x000a_        accum.append('&gt;');_x000a_    }_x000a__x000a_    @Override_x000a_    void outerHtmlTail(StringBuilder accum, int depth, Document.OutputSettings out) {_x000a_    }_x000a_}_x000a_---FILE_END---"/>
    <m/>
    <s v="success"/>
    <n v="3"/>
    <s v="org.jsoup.nodes.DocumentTypeTest::outerHtmlGeneration;org.jsoup.nodes.DocumentTypeTest::constructorValidationOkWithBlankName;org.jsoup.parser.HtmlParserTest::handlesInvalidDoctypes"/>
    <d v="2026-03-05T04:01:29"/>
    <s v="Jsoup"/>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if (&quot;&quot;.equals(publicId))_x000a_            publicId = null;_x000a_        attr(&quot;publicId&quot;, publicId);_x000a_        if (&quot;&quot;.equals(systemId))_x000a_            systemId = null;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FILE_END---"/>
    <m/>
    <s v="success"/>
    <n v="12"/>
    <s v="org.jsoup.integration.ParseTest::testBaiduVariant;org.jsoup.integration.ParseTest::testGoogleSearchIpod;org.jsoup.integration.ParseTest::testBaidu;org.jsoup.nodes.DocumentTest::testClonesDeclarations;org.jsoup.nodes.DocumentTest::testHtmlAndXmlSyntax;org.jsoup.nodes.DocumentTypeTest::outerHtmlGeneration;org.jsoup.nodes.DocumentTypeTest::constructorValidationOkWithBlankName;org.jsoup.nodes.DocumentTypeTest::constructorValidationOkWithBlankPublicAndSystemIds;org.jsoup.parser.HtmlParserTest::normalisesDocument;org.jsoup.parser.HtmlParserTest::handlesInvalidDoctypes;org.jsoup.parser.HtmlParserTest::handlesUnclosedFormattingElements;org.jsoup.parser.XmlTreeBuilderTest::testCommentAndDocType"/>
    <d v="2026-02-16T09:58:11"/>
    <n v="0"/>
    <n v="9"/>
    <n v="12"/>
    <n v="3"/>
    <n v="4"/>
  </r>
  <r>
    <x v="9"/>
    <n v="42"/>
    <s v="_x000a_Bug report URL: https://github.com/jhy/jsoup/issues/48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if (el.hasAttr(&quot;disabled&quot;)) continue; // disabled elements should not be submitted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if (option.hasAttr(&quot;disabled&quot;)) continue;_x000a_                    data.add(HttpConnection.KeyVal.create(name, option.val()));_x000a_                    set = true;_x000a_                }_x000a_                if (!set) {_x000a_                    Element option = el.select(&quot;option:not([disabled])&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3-05T04:06:04"/>
    <s v="Jsoup"/>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if (el.hasAttr(&quot;disabled&quot;)) continu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2-16T09:59:30"/>
    <n v="0"/>
    <n v="0"/>
    <n v="2"/>
    <n v="2"/>
    <n v="1"/>
  </r>
  <r>
    <x v="9"/>
    <n v="44"/>
    <s v="_x000a_Bug report URL: https://github.com/jhy/jsoup/issues/552_x000a__x000a_Original files:_x000a_---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process(token);_x000a_            token.reset();_x000a__x000a_            if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process(token);_x000a__x000a_            if (token.type == Token.TokenType.EOF)_x000a_                break;_x000a_            token.reset();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FILE_END---"/>
    <m/>
    <s v="success"/>
    <n v="1"/>
    <s v="org.jsoup.parser.HtmlParserTest::testInvalidTableContents"/>
    <d v="2026-03-05T04:08:47"/>
    <s v="Jsoup"/>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for error tracking and for re-inserting tokens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_x000a__x000a_    Document parse(String input, String baseUri, ParseErrorList errors) {_x000a_        initialiseParse(input, baseUri, errors);_x000a_        runParser();_x000a_        return doc;_x000a_    }_x000a__x000a_    protected void runParser() {_x000a_        while (true) {_x000a_            currentToken = tokeniser.read();_x000a_            process(currentToken);_x000a__x000a_            if (currentToken.type == Token.TokenType.EOF)_x000a_                break;_x000a_            currentToken.reset();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FILE_END---"/>
    <m/>
    <s v="success"/>
    <n v="1"/>
    <s v="org.jsoup.parser.HtmlParserTest::testInvalidTableContents"/>
    <d v="2026-02-16T10:01:41"/>
    <n v="0"/>
    <n v="0"/>
    <n v="1"/>
    <n v="1"/>
    <n v="1"/>
  </r>
  <r>
    <x v="9"/>
    <n v="54"/>
    <s v="_x000a_Bug report URL: https://github.com/jhy/jsoup/issues/721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String key = attribute.getKey();_x000a__x000a_                // xmlns attributes are not normal attributes and are handled in updateNamespaces_x000a_                if (key.equals(xmlnsKey) || key.startsWith(xmlnsPrefix))_x000a_                    continue;_x000a__x000a_                String prefix = attrKeyToPrefix(key);_x000a_                String namespace = namespaces.get(prefix);_x000a__x000a_                if (namespace != null)_x000a_                    el.setAttributeNS(namespace, key, attribute.getValue());_x000a_                else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private String attrKeyToPrefix(String key) {_x000a_            int pos = key.indexOf(&quot;:&quot;);_x000a_            return pos &gt; 0 ? key.substring(0, pos) : null;_x000a_        }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handlesInvalidAttributeNames"/>
    <d v="2026-03-05T04:14:40"/>
    <s v="Jsoup"/>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 and various international chars_x000a_                // simply try to set the attribute. the DOM will complain if it's invalid_x000a_                try {_x000a_                    el.setAttribute(attribute.getKey(), attribute.getValue());_x000a_                } catch (org.w3c.dom.DOMException e) {_x000a_                    // if the key is not a valid XML name, DOM impl will throw._x000a_                    // currently, we just skip those attributes._x000a_                    // todo: should we do anything else? format a warning?_x000a_                    // see: https://github.com/jhy/jsoup/issues/721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0"/>
    <m/>
    <d v="2026-02-16T10:03:02"/>
    <n v="0"/>
    <n v="1"/>
    <n v="1"/>
    <n v="0"/>
    <n v="1"/>
  </r>
  <r>
    <x v="9"/>
    <n v="69"/>
    <s v="_x000a_Bug report URL: https://github.com/jhy/jsoup/issues/42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 Connection.Method.POST : Connection.Method.GET;_x000a__x000a_        // look for a submit button that was clicked. The first submit element is used if not specified._x000a_        Element submit = null;_x000a_        for (Element el: elements) {_x000a_            // if includes a submit button, it is the submitter._x000a_            if (el.tag().isFormSubmittable() &amp;&amp; el.attr(&quot;type&quot;).equalsIgnoreCase(&quot;submit&quot;)) {_x000a_                submit = el;_x000a_                break;_x000a_            }_x000a_        }_x000a_        List&lt;Connection.KeyVal&gt; data = formData();_x000a__x000a_        if (submit != null) {_x000a_            String subAction = submit.attr(&quot;formaction&quot;);_x000a_            if (subAction.length() &gt; 0)_x000a_                action = absUrl(subAction);_x000a_            String subMethod = submit.attr(&quot;formmethod&quot;);_x000a_            if (subMethod.length() &gt; 0)_x000a_                method = subMethod.equalsIgnoreCase(&quot;POST&quot;) ? Connection.Method.POST : Connection.Method.GET;_x000a__x000a_            data.add(HttpConnection.KeyVal.create(submit.attr(&quot;name&quot;), submit.attr(&quot;value&quot;)));_x000a_        }_x000a__x000a_        return Jsoup.connect(action)_x000a_                .data(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if (&quot;submit&quot;.equalsIgnoreCase(type) || &quot;image&quot;.equalsIgnoreCase(type)) {_x000a_                // can be submitted via click, but not by string batch._x000a_                // appears in formData if specified as submit button, but not if just included in form elements._x000a_                continue;_x000a_            } else {_x000a_                data.add(HttpConnection.KeyVal.create(name, el.val()));_x000a_            }_x000a_        }_x000a_        return data;_x000a_    }_x000a_}_x000a_---FILE_END---"/>
    <m/>
    <s v="success"/>
    <n v="3"/>
    <s v="org.jsoup.nodes.FormElementTest::removeFormElement;org.jsoup.nodes.FormElementTest::adoptedFormsRetainInputs;org.jsoup.parser.HtmlParserTest::handlesDeepStack"/>
    <d v="2026-03-05T04:17:25"/>
    <s v="Jsoup"/>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if (&quot;submit&quot;.equalsIgnoreCase(type)) {_x000a_                // exclude submit buttons from form data_x000a_                continue;_x000a_            }_x000a_            else {_x000a_                data.add(HttpConnection.KeyVal.create(name, el.val()));_x000a_            }_x000a_        }_x000a_        return data;_x000a_    }_x000a_}_x000a_---FILE_END---"/>
    <m/>
    <s v="success"/>
    <n v="2"/>
    <s v="org.jsoup.nodes.FormElementTest::removeFormElement;org.jsoup.nodes.FormElementTest::adoptedFormsRetainInputs"/>
    <d v="2026-02-16T10:06:31"/>
    <n v="0"/>
    <n v="1"/>
    <n v="3"/>
    <n v="2"/>
    <n v="1.5"/>
  </r>
  <r>
    <x v="9"/>
    <n v="73"/>
    <s v="_x000a_Bug report URL: https://github.com/jhy/jsoup/issues/977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continue;_x000a__x000a_                if (key.startsWith(xmlnsPrefix) || key.equals(xmlnsKey)) {_x000a_                    el.setAttributeNS(&quot;http://www.w3.org/2000/xmlns/&quot;, key, attribute.getValue());_x000a_                } else {_x000a_                    int pos = key.indexOf(&quot;:&quot;);_x000a_                    String prefix = pos &gt; 0 ? key.substring(0, pos) : null;_x000a_                    String namespace = namespaces.get(prefix);_x000a_                    if (namespace != null)_x000a_                        el.setAttributeNS(namespace, key, attribute.getValue());_x000a_                    else_x000a_                        el.setAttribute(key, attribute.getValue());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if (key.equals(xmlnsKey)) {_x000a_                    namespaces.put(&quot;&quot;, attr.getValue());_x000a_                } else if (key.startsWith(xmlnsPrefix)) {_x000a_                    namespaces.put(key.substring(xmlnsPrefix.length()), attr.getValue());_x000a_                }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parser.HtmlParserTest::handlesDeepStack"/>
    <d v="2026-03-05T04:22:24"/>
    <s v="Jsoup"/>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String key = attribute.getKey();_x000a__x000a_                // skip xmlns attributes as they have been dealt with in updateNamespaces_x000a_                if (key.equals(xmlnsKey) || key.startsWith(xmlnsPrefix)) {_x000a_                    continue;_x000a_                }_x000a__x000a_                String prefix = null;_x000a_                String namespace = null;_x000a_                if (key.contains(&quot;:&quot;)) {_x000a_                    prefix = key.substring(0, key.indexOf(&quot;:&quot;));_x000a_                    namespace = namespaces.get(prefix);_x000a_                }_x000a_                el.setAttributeNS(namespace, 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handlesInvalidAttributeNames"/>
    <d v="2026-02-16T10:08:11"/>
    <n v="0"/>
    <n v="0"/>
    <n v="3"/>
    <n v="1"/>
    <n v="3"/>
  </r>
  <r>
    <x v="9"/>
    <n v="77"/>
    <s v="_x000a_Bug report URL: https://github.com/jhy/jsoup/issues/998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 subset of data to parse is from first after the '?' or '!' to the last, minus one if a '?' or '!'_x000a_                String decl = data.substring(1, data.length() - (data.endsWith(&quot;?&quot;) ? 1 : 0));_x000a_                Document doc = Jsoup.parse(&quot;&lt;&quot; + decl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d v="2026-03-05T04:27:31"/>
    <s v="Jsoup"/>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SelfClosing()) { // don't clone if it's already self-closing e.g. &lt;br /&gt;_x000a_                tag = tag.clone();_x000a_                tag.setSelfClosing();_x000a_                el.tag(tag);_x000a_            }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failed"/>
    <n v="0"/>
    <m/>
    <d v="2026-02-16T10:10:36"/>
    <n v="1"/>
    <n v="1"/>
    <n v="1"/>
    <n v="0"/>
    <n v="1"/>
  </r>
  <r>
    <x v="9"/>
    <n v="79"/>
    <s v="_x000a_Bug report URL: https://github.com/jhy/jsoup/issues/1032_x000a__x000a_Original files:_x000a_---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Attributes) value).remove(key);_x000a_        return this;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success"/>
    <n v="1"/>
    <s v="org.jsoup.nodes.TextNodeTest::testLeadNodesHaveNoChildren"/>
    <d v="2026-03-05T04:30:20"/>
    <s v="Jsoup"/>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ibutes().get(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success"/>
    <n v="1"/>
    <s v="org.jsoup.nodes.TextNodeTest::testLeadNodesHaveNoChildren"/>
    <d v="2026-02-16T10:13:53"/>
    <n v="0"/>
    <n v="0"/>
    <n v="1"/>
    <n v="1"/>
    <n v="1"/>
  </r>
  <r>
    <x v="9"/>
    <n v="80"/>
    <s v="_x000a_Bug report URL: https://github.com/jhy/jsoup/issues/1015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 if a tag is self-closing in XML, it must be an empty element.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
    <m/>
    <s v="success"/>
    <n v="2"/>
    <s v="org.jsoup.parser.XmlTreeBuilderTest::handlesDodgyXmlDecl;org.jsoup.parser.XmlTreeBuilderTest::testCommentAndDocType"/>
    <d v="2026-03-05T04:31:59"/>
    <s v="Jsoup"/>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String declaration = data.substring(1, data.length() - 1);_x000a_                if (declaration.length() &gt; 0) { // make sure we don't parse empty strings_x000a_                    Document doc = Jsoup.parse(&quot;&lt;&quot; + declaration + &quot;&gt;&quot;, baseUri, Parser.xmlParser());_x000a_                    if (doc.children().size() &gt; 0) {_x000a_                        Element el = doc.child(0);_x000a_                        insert = new XmlDeclaration(settings.normalizeTag(el.tagName()), data.startsWith(&quot;!&quot;));_x000a_                        insert.attributes().addAll(el.attributes());_x000a_                    }_x000a_                }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0"/>
    <m/>
    <d v="2026-02-16T10:16:26"/>
    <n v="0"/>
    <n v="2"/>
    <n v="2"/>
    <n v="0"/>
    <n v="2"/>
  </r>
  <r>
    <x v="9"/>
    <n v="84"/>
    <s v="_x000a_Bug report URL: https://github.com/jhy/jsoup/issues/848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String key = attribute.getKey();_x000a__x000a_                // xmlns attributes are handled in updateNamespaces._x000a_                if (key.equals(xmlnsKey) || key.startsWith(xmlnsPrefix)) {_x000a_                    continue;_x000a_                }_x000a__x000a_                String prefix = null;_x000a_                if (key.contains(&quot;:&quot;)) {_x000a_                    prefix = key.substring(0, key.indexOf(&quot;:&quot;));_x000a_                }_x000a__x000a_                String namespace = namespacesStack.peek().get(prefix);_x000a__x000a_                // valid xml attribute names are: ^[a-zA-Z_:][-a-zA-Z0-9_:.]_x000a_                if (key.matches(&quot;[a-zA-Z_:][-a-zA-Z0-9_:.]*&quot;)) {_x000a_                    el.setAttributeNS(namespace, key, attribute.getValue());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treatsUndeclaredNamespaceAsLocalName"/>
    <d v="2026-03-05T04:34:14"/>
    <s v="Jsoup"/>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if (dest != null) {_x000a_                    Text text = doc.createTextNode(sourceText.getWholeText());_x000a_                    dest.appendChild(text);_x000a_                }_x000a_            } else if (source instanceof org.jsoup.nodes.Comment) {_x000a_                org.jsoup.nodes.Comment sourceComment = (org.jsoup.nodes.Comment) source;_x000a_                if (dest != null) {_x000a_                    Comment comment = doc.createComment(sourceComment.getData());_x000a_                    dest.appendChild(comment);_x000a_                }_x000a_            } else if (source instanceof org.jsoup.nodes.DataNode) {_x000a_                org.jsoup.nodes.DataNode sourceData = (org.jsoup.nodes.DataNode) source;_x000a_                if (dest != null) {_x000a_                    Text node = doc.createTextNode(sourceData.getWholeData());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treatsUndeclaredNamespaceAsLocalName"/>
    <d v="2026-02-16T10:18:44"/>
    <n v="0"/>
    <n v="1"/>
    <n v="2"/>
    <n v="1"/>
    <n v="2"/>
  </r>
  <r>
    <x v="9"/>
    <n v="85"/>
    <s v="_x000a_Bug report URL: https://github.com/jhy/jsoup/issues/1159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
    <m/>
    <s v="success"/>
    <n v="2"/>
    <s v="org.jsoup.nodes.AttributeTest::validatesKeysNotEmpty;org.jsoup.nodes.AttributeTest::validatesKeysNotEmptyViaSet"/>
    <d v="2026-03-05T04:36:02"/>
    <s v="Jsoup"/>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this.val;_x000a_        if (parent != null) {_x000a_            oldVal = parent.get(this.key);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2"/>
    <s v="org.jsoup.nodes.AttributeTest::testWithSupplementaryCharacterInAttributeKeyAndValue;org.jsoup.nodes.AttributeTest::html;org.jsoup.nodes.AttributeTest::validatesKeysNotEmpty;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d v="2026-02-16T10:21:54"/>
    <n v="0"/>
    <n v="10"/>
    <n v="13"/>
    <n v="1"/>
    <n v="13"/>
  </r>
  <r>
    <x v="9"/>
    <n v="86"/>
    <s v="_x000a_Bug report URL: https://github.com/jhy/jsoup/issues/1139_x000a__x000a_Original files:_x000a_---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if (!isXmlDeclaration())_x000a_            return null;_x000a_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_x000a__x000a_---FILE_END---"/>
    <m/>
    <s v="success"/>
    <n v="1"/>
    <s v="org.jsoup.parser.XmlTreeBuilderTest::handlesLTinScript"/>
    <d v="2026-03-05T04:37:04"/>
    <s v="Jsoup"/>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String declData = data.substring(1, data.length() - 1);_x000a_        if (declData.trim().length() == 0)_x000a_            return null;_x000a__x000a_        Document doc = Jsoup.parse(&quot;&lt;&quot; + declData + &quot;&gt;&quot;, baseUri(), Parser.xmlParser());_x000a_        XmlDeclaration decl = null;_x000a_        if (doc.children().size() &gt; 0) {_x000a_            Element el = doc.child(0);_x000a_            decl = new XmlDeclaration(NodeUtils.parser(doc).settings().normalizeTag(el.tagName()), data.startsWith(&quot;!&quot;));_x000a_            decl.attributes().addAll(el.attributes());_x000a_            if (this.ownerDocument() != null)_x000a_                decl.setOwnerDocument(this.ownerDocument());_x000a_        }_x000a_        return decl;_x000a_    }_x000a_}_x000a_---FILE_END---"/>
    <m/>
    <s v="failed"/>
    <n v="0"/>
    <m/>
    <d v="2026-02-16T10:24:32"/>
    <n v="1"/>
    <n v="1"/>
    <n v="1"/>
    <n v="0"/>
    <n v="1"/>
  </r>
  <r>
    <x v="9"/>
    <n v="88"/>
    <s v="_x000a_Bug report URL: https://github.com/jhy/jsoup/issues/1065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this.val;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booleanAttributesAreEmptyStringValues"/>
    <d v="2026-03-05T04:40:11"/>
    <s v="Jsoup"/>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n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n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n            out.syntax() == Document.OutputSettings.Syntax.html &amp;&amp;_x000a_                (val == null || (&quot;&quot;.equals(val) || val.equalsIgnoreCase(key)) &amp;&amp; Attribute.isBooleanAttribute(key)));_x000a_    }_x000a__x000a_    /**_x000a_     * @deprecated_x000a_     */_x000a_    protected boolean isBooleanAttribute() {_x000a_        return isBooleanAttribute(key);_x000a_    }_x000a__x000a_    /**_x000a_     * Checks if this attribute name is defined as a boolean attribute in HTML5_x000a_     */_x000a_    protected static boolean isBooleanAttribute(final String key) {_x000a_        return Arrays.binarySearch(booleanAttributes, key.toLowerCase())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2-16T10:25:38"/>
    <n v="1"/>
    <n v="1"/>
    <n v="1"/>
    <n v="0"/>
    <n v="1"/>
  </r>
  <r>
    <x v="9"/>
    <n v="89"/>
    <s v="_x000a_Bug report URL: https://github.com/jhy/jsoup/issues/1107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isBooleanAttribute(key) &amp;&amp;_x000a_                (val == null || val.equalsIgnoreCase(key) || val.isEmpty()));_x000a_    }_x000a__x000a_    /**_x000a_     * @deprecated_x000a_     */_x000a_    protected boolean isBooleanAttribute() {_x000a_        return Arrays.binarySearch(booleanAttributes, key) &gt;= 0;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4"/>
    <s v="org.jsoup.nodes.AttributeTest::settersOnOrphanAttribute;org.jsoup.nodes.ElementTest::testAddBooleanAttribute;org.jsoup.parser.AttributeParseTest::parsesBooleanAttributes;org.jsoup.parser.HtmlParserTest::parsesQuiteRoughAttributes"/>
    <d v="2026-03-05T04:42:22"/>
    <s v="Jsoup"/>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this.val;_x000a_        if (parent != null) {_x000a_            oldVal = parent.get(this.key);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0"/>
    <m/>
    <d v="2026-02-16T10:28:00"/>
    <n v="0"/>
    <n v="4"/>
    <n v="4"/>
    <n v="0"/>
    <n v="4"/>
  </r>
  <r>
    <x v="9"/>
    <n v="93"/>
    <s v="_x000a_Bug report URL: https://github.com/jhy/jsoup/issues/1231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if (el.hasAttr(&quot;checked&quot;)) {_x000a_                    if (&quot;radio&quot;.equalsIgnoreCase(type)) {_x000a_                        if (el.hasAttr(&quot;value&quot;))_x000a_                            data.add(HttpConnection.KeyVal.create(name, el.val()));_x000a_                        // else, missing value radio is not submitted_x000a_                    } else { // checkbox_x000a_                        final String val = el.hasAttr(&quot;value&quot;) ? el.val() : &quot;on&quot;;_x000a_                        data.add(HttpConnection.KeyVal.create(name, val));_x000a_                    }_x000a_                }_x000a_            } else {_x000a_                data.add(HttpConnection.KeyVal.create(name, el.val()));_x000a_            }_x000a_        }_x000a_        return data;_x000a_    }_x000a_}_x000a_---FILE_END---"/>
    <m/>
    <s v="success"/>
    <n v="1"/>
    <s v="org.jsoup.nodes.FormElementTest::createsFormData"/>
    <d v="2026-03-05T04:44:04"/>
    <s v="Jsoup"/>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hasAttr(&quot;value&quot;) ? el.val() : &quot;on&quot;;_x000a_                    data.add(HttpConnection.KeyVal.create(name, val));_x000a_                }_x000a_            } else {_x000a_                String val = el.val();_x000a_                data.add(HttpConnection.KeyVal.create(name, val == null ? &quot;&quot; : val));_x000a_            }_x000a_        }_x000a_        return data;_x000a_    }_x000a_}_x000a_---FILE_END---"/>
    <m/>
    <s v="success"/>
    <n v="1"/>
    <s v="org.jsoup.nodes.FormElementTest::createsFormData"/>
    <d v="2026-02-16T10:30:50"/>
    <n v="0"/>
    <n v="0"/>
    <n v="1"/>
    <n v="1"/>
    <n v="1"/>
  </r>
  <r>
    <x v="10"/>
    <n v="2"/>
    <s v="_x000a_Bug report URL: https://issues.apache.org/jira/browse/JXPATH-50_x000a__x000a_Original files:_x000a_---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new ValueIterator(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success"/>
    <n v="1"/>
    <s v="org.apache.commons.jxpath.ri.compiler.ExtensionFunctionTest::testNodeSetReturn"/>
    <d v="2026-03-05T04:56:44"/>
    <s v="JxPath"/>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EvalContext) result).getValueIterator();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failed"/>
    <n v="0"/>
    <m/>
    <d v="2026-02-16T10:32:43"/>
    <n v="1"/>
    <n v="1"/>
    <n v="1"/>
    <n v="0"/>
    <n v="1"/>
  </r>
  <r>
    <x v="10"/>
    <n v="3"/>
    <s v="_x000a_Bug report URL: https://issues.apache.org/jira/browse/JXPATH-68_x000a__x000a_Original files:_x000a_---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success"/>
    <n v="5"/>
    <s v="org.apache.commons.jxpath.ri.axes.SimplePathInterpreterTest::testDoStepPredicatesPropertyOwner;org.apache.commons.jxpath.ri.axes.SimplePathInterpreterTest::testDoStepPredicatesStandard;org.apache.commons.jxpath.ri.axes.SimplePathInterpreterTest::testDoPredicateIndex;org.apache.commons.jxpath.ri.model.MixedModelTest::testNull;org.apache.commons.jxpath.ri.model.beans.BadlyImplementedFactoryTest::testBadFactoryImplementation"/>
    <d v="2026-03-05T05:02:11"/>
    <s v="JxPath"/>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 In order to set a value of a non-existent property, we need to_x000a_        // create that property. That's what createPath() does._x000a_        createPath(JXPathContext.newContext(null)).setValue(value);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failed"/>
    <n v="0"/>
    <m/>
    <d v="2026-02-16T10:34:53"/>
    <n v="1"/>
    <n v="5"/>
    <n v="5"/>
    <n v="0"/>
    <n v="5"/>
  </r>
  <r>
    <x v="10"/>
    <n v="6"/>
    <s v="_x000a_Bug report URL: https://issues.apache.org/jira/browse/JXPATH-94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_x000a_            l = ((Pointer) l).getValue();_x000a_        }_x000a__x000a_        if (r instanceof Pointer) {_x000a_            r = ((Pointer) r).getVal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return (InfoSetUtil.stringValue(l).equals(InfoSetUtil.stringValue(r)));_x000a_    }_x000a__x000a_}_x000a_---FILE_END---"/>
    <m/>
    <s v="success"/>
    <n v="1"/>
    <s v="org.apache.commons.jxpath.ri.compiler.VariableTest::testIterateVariable"/>
    <d v="2026-03-05T05:05:31"/>
    <s v="JxPath"/>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return equal(l, r);_x000a_    }_x000a__x000a_    /**_x000a_     * See if an iterator contains a given value._x000a_     * @param it iterator_x000a_     * @param value value to check for_x000a_     * @return boolean_x000a_     */_x000a_    protected boolean contains(Iterator it, Object value) {_x000a_        while (it.hasNext()) {_x000a_            Object element = it.next();_x000a_            if (equal(element, value)) {_x000a_                return true;_x000a_            }_x000a_        }_x000a_        return false;_x000a_    }_x000a__x000a_    /**_x000a_     * See if two iterators have any common elements._x000a_     * @param lit left iterator_x000a_     * @param rit right iterator_x000a_     * @return boolean_x000a_     */_x000a_    protected boolean findMatch(Iterator lit, Iterator rit) {_x000a_        HashSet left = new HashSet();_x000a_        while (lit.hasNext()) {_x000a_            left.add(InfoSetUtil.stringValue(lit.next()));_x000a_        }_x000a_        while (rit.hasNext()) {_x000a_            if (left.contains(InfoSetUtil.stringValue(rit.next()))) {_x000a_                return true;_x000a_            }_x000a_        }_x000a_        return false;_x000a_    }_x000a__x000a_    protected boolean equal(Object l, Object r) {_x000a_        if (l instanceof Pointer) {_x000a_            l = ((Pointer) l).getValue();_x000a_        }_x000a__x000a_        if (r instanceof Pointer) {_x000a_            r = ((Pointer) r).getValue();_x000a_        }_x000a__x000a_        if (l instanceof Collection) {_x000a_            l = ((Collection) l).iterator();_x000a_        }_x000a_        if (r instanceof Collection) {_x000a_            r = ((Collection) r).iterator();_x000a_        }_x000a_        if (l instanceof Iterator || r instanceof Iterator) {_x000a_            return equal(l, r, tr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    /**_x000a_     * Compare a possibly-iterator to another object_x000a_     * @param l left operand_x000a_     * @param r right operand_x000a_     * @param basic basic comparison_x000a_     * @return boolean_x000a_     */_x000a_    private boolean equal(Object l, Object r, boolean basic) {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false; // Should not happen_x000a_    }_x000a__x000a_}_x000a_---FILE_END---"/>
    <m/>
    <s v="success"/>
    <n v="1"/>
    <s v="org.apache.commons.jxpath.ri.compiler.VariableTest::testIterateVariable"/>
    <d v="2026-02-16T10:37:19"/>
    <n v="0"/>
    <n v="0"/>
    <n v="1"/>
    <n v="1"/>
    <n v="1"/>
  </r>
  <r>
    <x v="10"/>
    <n v="7"/>
    <s v="_x000a_Bug report URL: https://issues.apache.org/jira/browse/JXPATH-93_x000a__x000a_Original files:_x000a_---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rotected final int getPrecedence() {_x000a_        return 3;_x000a_    }_x000a__x000a_    protected final boolean isSymmetric() {_x000a_        return false;_x000a_    }_x000a__x000a__x000a__x000a__x000a__x000a_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rotected boolean evaluate(double l, double r) {_x000a_        return l &gt; r;_x000a_    }_x000a__x000a_    public String getSymbol() {_x000a_        return &quot;&gt;&quot;;_x000a_    }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cat 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rotected boolean evaluate(double l, double r) {_x000a_        return l &gt;= r;_x000a_    }_x000a__x000a_    public String getSymbol() {_x000a_        return &quot;&gt;=&quot;;_x000a_    }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rotected boolean evaluate(double l, double r) {_x000a_        return l &lt; r;_x000a_    }_x000a__x000a_    public String getSymbol() {_x000a_        return &quot;&lt;&quot;;_x000a_    }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rotected boolean evaluate(double l, double r) {_x000a_        return l &lt;= r;_x000a_    }_x000a__x000a_    public String getSymbol() {_x000a_        return &quot;&lt;=&quot;;_x000a_    }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ArrayList;_x000a_import java.util.Iterator;_x000a_import org.apache.commons.jxpath.ri.EvalContext;_x000a_import org.apache.commons.jxpath.ri.InfoSetUtil;_x000a__x000a__x000a_/**_x000a_ * Base implementation of Expression for the operations &quot;&amp;gt;&quot;, &quot;&amp;gt;=&quot;, &quot;&amp;lt;&quot;, &quot;&amp;lt;=&quot;._x000a_ *_x000a_ * @author Matt Benson_x000a_ * @author Dmitri Plotnikov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Object l = args[0].computeValue(context);_x000a_        Object r = args[1].computeValue(context);_x000a_        return compute(l, r) ? Boolean.TRUE : Boolean.FALSE;_x000a_    }_x000a__x000a_    protected final int getPrecedence() {_x000a_        return 3;_x000a_    }_x000a__x000a_    protected final boolean isSymmetric() {_x000a_        return false;_x000a_    }_x000a__x000a_    private boolean compute(Object l, Object r) {_x000a_        l = InfoSetUtil.value(l);_x000a_        r = InfoSetUtil.value(r);_x000a__x000a_        if (l instanceof Iterator) {_x000a_            Iterator lit = (Iterator) l;_x000a_            if (r instanceof Iterator) {_x000a_                return findMatch(lit, (Iterator) r);_x000a_            }_x000a_            return findMatch(lit, r);_x000a_        }_x000a_        if (r instanceof Iterator) {_x000a_            return findMatch((Iterator) r, l);_x000a_        }_x000a_        return evaluate(InfoSetUtil.doubleValue(l), InfoSetUtil.doubleValue(r));_x000a_    }_x000a_    _x000a_    private boolean findMatch(Iterator it, Object value) {_x000a_        double d2 = InfoSetUtil.doubleValue(value);_x000a_        while (it.hasNext()) {_x000a_            Object element = it.next();_x000a_            if (evaluate(InfoSetUtil.doubleValue(element), d2)) {_x000a_                return true;_x000a_            }_x000a_        }_x000a_        return false;_x000a_    }_x000a__x000a_    private boolean findMatch(Iterator it1, Iterator it2) {_x000a_        ArrayList list2 = new ArrayList();_x000a_        while (it2.hasNext()) {_x000a_            list2.add(it2.next());_x000a_        }_x000a__x000a_        while (it1.hasNext()) {_x000a_            Object o1 = it1.next();_x000a_            double d1 = InfoSetUtil.doubleValue(o1);_x000a_            for (int i = 0; i &lt; list2.size(); i++) {_x000a_                Object o2 = list2.get(i);_x000a_                if (evaluate(d1, InfoSetUtil.doubleValue(o2))) {_x000a_                    return true;_x000a_                }_x000a_            }_x000a_        }_x000a_        return false;_x000a_    }_x000a__x000a_    protected abstract boolean evaluate(double l, double r);_x000a_}_x000a_---FILE_END---"/>
    <m/>
    <s v="failed"/>
    <n v="0"/>
    <m/>
    <d v="2026-03-05T05:08:34"/>
    <s v="JxPath"/>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gt; InfoSetUtil.doubleValue(right);_x000a_    }_x000a__x000a_    public String getSymbol() {_x000a_        return &quot;&gt;&quot;;_x000a_    }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gt;= InfoSetUtil.doubleValue(right);_x000a_    }_x000a__x000a_    public String getSymbol() {_x000a_        return &quot;&gt;=&quot;;_x000a_    }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lt; InfoSetUtil.doubleValue(right);_x000a_    }_x000a__x000a_    public String getSymbol() {_x000a_        return &quot;&lt;&quot;;_x000a_    }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lt;= InfoSetUtil.doubleValue(right);_x000a_    }_x000a__x000a_    public String getSymbol() {_x000a_        return &quot;&lt;=&quot;;_x000a_    }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Iterator;_x000a_import org.apache.commons.jxpath.ri.EvalContext;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ublic Object computeValue(EvalContext context) {_x000a_        Object arg1 = args[0].computeValue(context);_x000a_        Object arg2 = args[1].computeValue(context);_x000a__x000a_        if (arg1 instanceof Iterator) {_x000a_            if (arg2 instanceof Iterator) {_x000a_                return computeMultiple((Iterator) arg1, (Iterator) arg2);_x000a_            }_x000a_            return compute((Iterator) arg1, arg2);_x000a_        }_x000a_        if (arg2 instanceof Iterator) {_x000a_            return compute(arg1, (Iterator) arg2);_x000a_        }_x000a_        return evaluate(arg1, arg2) ? Boolean.TRUE : Boolean.FALSE;_x000a_    }_x000a__x000a_    private Object compute(Iterator it, Object R) {_x000a_        while (it.hasNext()) {_x000a_            Object L = it.next();_x000a_            if (evaluate(L, R)) {_x000a_                return Boolean.TRUE;_x000a_            }_x000a_        }_x000a_        return Boolean.FALSE;_x000a_    }_x000a__x000a_    private Object compute(Object L, Iterator it) {_x000a_        while (it.hasNext()) {_x000a_            Object R = it.next();_x000a_            if (evaluate(L, R)) {_x000a_                return Boolean.TRUE;_x000a_            }_x000a_        }_x000a_        return Boolean.FALSE;_x000a_    }_x000a__x000a_    private Object computeMultiple(Iterator it1, Iterator it2) {_x000a_        // This is a naive implementation. A better one would be to_x000a_        // build an array of values for the second iterator and then_x000a_        // do a quick walk through the first iterator._x000a_        java.util.List list2 = new java.util.ArrayList();_x000a_        while (it2.hasNext()) {_x000a_            list2.add(it2.next());_x000a_        }_x000a__x000a_        while (it1.hasNext()) {_x000a_            Object p1 = it1.next();_x000a_            for (int i = 0; i &lt; list2.size(); i++) {_x000a_                if (evaluate(p1, list2.get(i))) {_x000a_                    return Boolean.TRUE;_x000a_                }_x000a_            }_x000a_        }_x000a_        return Boolean.FALSE;_x000a_    }_x000a__x000a_    protected abstract boolean evaluate(Object left, Object right);_x000a__x000a_    protected final int getPrecedence() {_x000a_        return 3;_x000a_    }_x000a__x000a_    protected final boolean isSymmetric() {_x000a_        return false;_x000a_    }_x000a_}_x000a_---FILE_END---"/>
    <m/>
    <s v="success"/>
    <n v="0"/>
    <m/>
    <d v="2026-02-16T10:40:13"/>
    <n v="1"/>
    <n v="0"/>
    <n v="0"/>
    <n v="0"/>
    <n v="0"/>
  </r>
  <r>
    <x v="10"/>
    <n v="8"/>
    <s v="_x000a_Bug report URL: https://issues.apache.org/jira/browse/JXPATH-95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return compare(left, right);_x000a_    }_x000a__x000a_    /**_x000a_     * Compare two values._x000a_     * @param left_x000a_     * @param right_x000a_     * @return boolean_x000a_     */_x000a_    private boolean compare(Object left, Object right) {_x000a_        double l = InfoSetUtil.doubleValue(left);_x000a_        double r = InfoSetUtil.doubleValue(right);_x000a_        return evaluateCompare(l == r ? 0 : l &lt; r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_x000a_        // This is a VERY inefficient implementation, but it avoids_x000a_        // a StackOverflowError that happens on large left-hand-side sets._x000a_        //_x000a_        HashSet left = new HashSet();_x000a_        while (lit.hasNext()) {_x000a_            left.add(lit.next());_x000a_        }_x000a__x000a_        while (rit.hasNext()) {_x000a_            Object r = rit.next();_x000a_            Iterator lft = left.iterator();_x000a_            while (lft.hasNext()) {_x000a_                if (compute(lft.next(), r)) {_x000a_                    return true;_x000a_                }_x000a_            }_x000a_        }_x000a_        return false;_x000a_    }_x000a__x000a_}_x000a_---FILE_END---"/>
    <m/>
    <s v="success"/>
    <n v="1"/>
    <s v="org.apache.commons.jxpath.ri.compiler.CoreOperationTest::testNan"/>
    <d v="2026-03-05T05:10:50"/>
    <s v="JxPath"/>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Object r = rit.next();_x000a_            if (containsMatch(left.iterator(), r)) {_x000a_                return true;_x000a_            }_x000a_        }_x000a_        return false;_x000a_    }_x000a__x000a_}_x000a_---FILE_END---"/>
    <m/>
    <s v="success"/>
    <n v="1"/>
    <s v="org.apache.commons.jxpath.ri.compiler.CoreOperationTest::testNan"/>
    <d v="2026-02-16T10:42:34"/>
    <n v="0"/>
    <n v="0"/>
    <n v="1"/>
    <n v="1"/>
    <n v="1"/>
  </r>
  <r>
    <x v="10"/>
    <n v="9"/>
    <s v="_x000a_Bug report URL: https://issues.apache.org/jira/browse/JXPATH-95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equal((Iterator) l, r);_x000a_        }_x000a_        if (r instanceof Iterator) {_x000a_            return equal((Iterator) r, l);_x000a_        }_x000a_        return equal(l, r);_x000a_    }_x000a__x000a_    protected boolean equal(Iterator it, Object o) {_x000a_        if (o instanceof Boolean) {_x000a_            return it.hasNext() == ((Boolean) o).booleanValue();_x000a_        }_x000a_        while (it.hasNext()) {_x000a_            Object element = it.next();_x000a_            if (o instanceof String) {_x000a_                if (InfoSetUtil.stringValue(element).equals(o)) {_x000a_                    return true;_x000a_                }_x000a_            }_x000a_            else if (o instanceof Number) {_x000a_                if (InfoSetUtil.doubleValue(element) == ((Number) o).doubleValue()) {_x000a_                    return true;_x000a_                }_x000a_            }_x000a_            else if (equal(element, o)) {_x000a_                return true;_x000a_            }_x000a_        }_x000a_        return false;_x000a_    }_x000a__x000a_    protected boolean findMatch(Iterator lit, Iterator rit) {_x000a_        HashSet left = new HashSet();_x000a_        while (lit.hasNext()) {_x000a_            left.add(InfoSetUtil.stringValue(lit.next()));_x000a_        }_x000a_        while (rit.hasNext()) {_x000a_            if (left.contains(InfoSetUtil.stringValue(rit.next()))) {_x000a_                return true;_x000a_            }_x000a_        }_x000a_        return false;_x000a_    }_x000a__x000a_    protected boolean equal(Object l, Object r) {_x000a_        if (l instanceof Pointer) {_x000a_            l = ((Pointer) l).getValue();_x000a_        }_x000a__x000a_        if (r instanceof Pointer) {_x000a_            r = ((Pointer) r).getValue();_x000a_        }_x000a__x000a_        if (l == r) {_x000a_            return true;_x000a_        }_x000a__x000a_        if (l instanceof String &amp;&amp; r instanceof String) {_x000a_            return l.equals(r);_x000a_        }_x000a_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m/>
    <s v="success"/>
    <n v="3"/>
    <s v="org.apache.commons.jxpath.ri.compiler.CoreOperationTest::testNan;org.apache.commons.jxpath.ri.model.beans.BeanModelTest::testCoreFunctions;org.apache.commons.jxpath.ri.model.dynabeans.DynaBeanModelTest::testCoreFunctions"/>
    <d v="2026-03-05T05:14:05"/>
    <s v="JxPath"/>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is about incorrect handling of `NaN` in equality comparisons. According to the XPath specification, any equality comparison involving `NaN` should result in `false`. This applies to the `=` operator. For `!=`, which is defined as `not(=)`, a comparison involving `NaN` should result in `true`. The existing implementation relied on Java's `==` operator for doubles, which correctly handles `NaN` comparisons for the `=` case (`NaN == x` is always `false`). However, the committed fix for this bug introduces a more explicit check for `NaN` to ensure correctness and improve clarity._x000a__x000a_The bug fix involves modifying `CoreOperationCompare.java`, which is the superclass for `=` (`CoreOperationEqual`) and `!=` (`CoreOperationNotEqual`) operations. A new private helper method, `numberEqual`, is introduced to encapsulate the logic for numeric comparison. This method explicitly checks if either operand is `NaN` and returns `false` in that case, otherwise it performs a standard numeric equality check. The main `equal` method is updated to use this new helper for numeric comparisons._x000a__x000a_The provided original file `org.apache.commons.jxpath.ri.compiler.CoreOperationCompare.java` also contained syntax errors (stray braces and an invalid line continuation character) which are corrected as part of the fix._x000a_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a number, do a number comparison_x000a_        if (l instanceof Number || r instanceof Number) {_x000a_            return numberEqual(l, r);_x000a_        }_x000a_        if (l instanceof String || r instanceof String) {_x000a_            return InfoSetUtil.stringValue(l).equals(InfoSetUtil.stringValue(r));_x000a_        }_x000a_        return l != null &amp;&amp; l.equals(r);_x000a_    }_x000a__x000a_    private boolean numberEqual(Object l, Object r) {_x000a_        double ld = InfoSetUtil.doubleValue(l);_x000a_        double rd = InfoSetUtil.doubleValue(r);_x000a_        if (Double.isNaN(ld) || Double.isNaN(rd)) {_x000a_            return false;_x000a_        }_x000a_        return ld == rd;_x000a_    }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m/>
    <s v="success"/>
    <n v="1"/>
    <s v="org.apache.commons.jxpath.ri.compiler.CoreOperationTest::testNan"/>
    <d v="2026-02-16T10:45:53"/>
    <n v="0"/>
    <n v="2"/>
    <n v="3"/>
    <n v="1"/>
    <n v="3"/>
  </r>
  <r>
    <x v="10"/>
    <n v="10"/>
    <s v="_x000a_Bug report URL: https://issues.apache.org/jira/browse/JXPATH-93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 false);_x000a_        }_x000a_        if (right instanceof Iterator) {_x000a_            return containsMatch((Iterator) right, left, true);_x000a_        }_x000a_        return compare(left, right);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boolean valueIsLeft) {_x000a_        while (it.hasNext()) {_x000a_            Object element = it.next();_x000a_            if (valueIsLeft) {_x000a_                if (compare(value, element)) {_x000a_                    return true;_x000a_                }_x000a_            }_x000a_            else if (compare(element, value)) {_x000a_                return true;_x000a_            }_x000a_        }_x000a_        return false;_x000a_    }_x000a__x000a_    private boolean compare(Object left, Object right)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boolean findMatch(Iterator lit, Iterator rit) {_x000a_        HashSet left = new HashSet();_x000a_        while (lit.hasNext()) {_x000a_            left.add(lit.next());_x000a_        }_x000a_        while (rit.hasNext()) {_x000a_            if (containsMatch(left.iterator(), rit.next(), false)) {_x000a_                return true;_x000a_            }_x000a_        }_x000a_        return false;_x000a_    }_x000a__x000a_}_x000a_---FILE_END---"/>
    <m/>
    <s v="success"/>
    <n v="1"/>
    <s v="org.apache.commons.jxpath.ri.compiler.CoreOperationTest::testEmptyNodeSetOperations"/>
    <d v="2026-03-05T04:46:53"/>
    <s v="JxPath"/>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left, (Iterator) righ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containsMatch(Object value, Iterator it) {_x000a_        while (it.hasNext()) {_x000a_            Object element = it.next();_x000a_            if (compute(value, element)) {_x000a_                return true;_x000a_            }_x000a_        }_x000a_        return false;_x000a_    }_x000a__x000a_    private boolean findMatch(Iterator lit, Iterator rit) {_x000a_        HashSet left = new HashSet();_x000a_        while (lit.hasNext()) {_x000a_            left.add(InfoSetUtil.stringValue(lit.next()));_x000a_        }_x000a_        while (rit.hasNext()) {_x000a_            String rval = InfoSetUtil.stringValue(rit.next());_x000a_            for (Iterator it = left.iterator(); it.hasNext();) {_x000a_                String lval = (String) it.next();_x000a_                double ld = InfoSetUtil.doubleValue(lval);_x000a_                double rd = InfoSetUtil.doubleValue(rval);_x000a_                if (!Double.isNaN(ld) &amp;&amp; !Double.isNaN(rd)_x000a_                        &amp;&amp; evaluateCompare(ld == rd ? 0 : ld &lt; rd ? -1 : 1)) {_x000a_                    return true;_x000a_                }_x000a_            }_x000a_        }_x000a_        return false;_x000a_    }_x000a__x000a_}_x000a_---FILE_END---"/>
    <m/>
    <s v="success"/>
    <n v="1"/>
    <s v="org.apache.commons.jxpath.ri.compiler.CoreOperationTest::testEmptyNodeSetOperations"/>
    <d v="2026-02-16T10:49:54"/>
    <n v="0"/>
    <n v="0"/>
    <n v="1"/>
    <n v="1"/>
    <n v="1"/>
  </r>
  <r>
    <x v="10"/>
    <n v="11"/>
    <s v="_x000a_Bug report URL: https://issues.apache.org/jira/browse/JXPATH-97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if (nodePrefix != null &amp;&amp; nodePrefix.equals(&quot;xmlns&quot;)) {_x000a_            return false;_x000a_        }_x000a__x000a_        String nodeLocalName = DOMNodePointer.getLocalName(attr);_x000a_        if (nodePrefix == null &amp;&amp; nodeLocalName.equals(&quot;xmlns&quot;)) {_x000a_            return false;_x000a_        }_x000a__x000a_        String testLocalName = testName.getName();_x000a_        if (testLocalName.equals(&quot;*&quot;)) {_x000a_            String testPrefix = testName.getPrefix();_x000a_            if (testPrefix == null) {_x000a_                return true;_x000a_            }_x000a_            _x000a_            String nodeNamespaceURI = attr.getNamespaceURI();_x000a_            // The following condition is what we are trying to achieve:_x000a_            // testNS != null &amp;&amp; testNS.equals(nodeNamespaceURI)_x000a_            // The problem is that the parser may not support NS for attributes_x000a_            String testNS = parent.getNamespaceURI(testPrefix);_x000a_            return equalStrings(testNS, nodeNamespaceURI);_x000a_        }_x000a__x000a_        if (testLocalName.equals(nodeLocalName)) {_x000a_            String testPrefix = testName.getPrefix();_x000a_            String testNS = parent.getNamespaceURI(testPrefix);_x000a_            String nodeNS = attr.getNamespaceURI();_x000a_            if (equalStrings(testNS, nodeNS)) {_x000a_                return true;_x000a_            }_x000a_            // Workaround for parsers that do not support namespaces_x000a_            return nodeNS == null &amp;&amp; equalStrings(testPrefix, nodePrefix);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if (prefix == null) {_x000a_                    attributes.addAll(allAttributes);_x000a_                }_x000a_                else {_x000a_                    for (int i = 0; i &lt; allAttributes.size(); i++) {_x000a_                        Attribute attr = (Attribute) allAttributes.get(i);_x000a_                        if (attr.getNamespace().equals(ns)) {_x000a_                            attributes.add(attr);_x000a_                        }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4"/>
    <s v="org.apache.commons.jxpath.ri.model.dom.DOMModelTest::testAxisAttribute;org.apache.commons.jxpath.ri.model.dom.DOMModelTest::testNamespaceMapping;org.apache.commons.jxpath.ri.model.jdom.JDOMModelTest::testAxisAttribute;org.apache.commons.jxpath.ri.model.jdom.JDOMModelTest::testNamespaceMapping"/>
    <d v="2026-03-05T04:49:28"/>
    <s v="JxPath"/>
    <n v="11"/>
    <s v="_x000a_            Bug report URL: https://issues.apache.org/jira/browse/JXPATH-97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ns = element.getNamespace(prefix);\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attribute wildcard selectors like `@*` and `@p:*` are not handled correctly by `DOMAttributeIterator` and `JDOMAttributeIterator`. The `@*` selector should match all attributes of an element (except for namespace declarations), regardless of their namespace. The `@p:*` selector should match all attributes that are in the namespace mapped to the prefix `p`._x000a__x000a_The current implementations incorrectly filter attributes based on their prefix or lack thereof, rather than their namespace URI. For `@*`, they only match attributes without a prefix._x000a__x000a_The fix involves modifying the logic that tests whether an attribute matches the selector._x000a__x000a_For `DOMAttributeIterator.java`, the `testAttr` method is rewritten. The new logic correctly handles namespace URI comparison for prefixed wildcards and simply accepts all non-`xmlns` attributes for the general wildcard `@*`._x000a__x000a_For `JDOMAttributeIterator.java`, the changes are more extensive. The constructor logic is overhauled to correctly handle both specific attribute selections (`@foo`, `@p:foo`) and wildcard selections (`@*`, `@p:*`). Two new helper methods, `getNamespace` and `testAttribute`, are introduced to encapsulate and clarify the logic for namespace resolution and attribute testing. A `QName` field is also added to the class to make the query name available to these new methods._x000a__x000a_Here are the corrected files:_x000a_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attrName = attr.getName();_x000a_        if (attrName.equals(&quot;xmlns&quot;) || attrName.startsWith(&quot;xmlns:&quot;)) {_x000a_            return false;_x000a_        }_x000a__x000a_        String testPrefix = testName.getPrefix();_x000a_        String testLocalName = name.getName();_x000a__x000a_        if (testPrefix != null) {_x000a_            String testNS = null;_x000a_            testNS = parent.getNamespaceURI(testPrefix);_x000a_            return equalStrings(testNS, attr.getNamespaceURI())_x000a_                &amp;&amp; (testLocalName.equals(&quot;*&quot;)_x000a_                    || testLocalName.equals(DOMNodePointer.getLocalName(attr)));_x000a_        }_x000a_        return testLocalName.equals(&quot;*&quot;)_x000a_            || testLocalName.equals(DOMNodePointer.getLocalName(attr));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QName name;_x000a_    private List attributes;_x000a_    private int position = 0;_x000a__x000a_    public JDOMAttributeIterator(NodePointer parent, QName name) {_x000a_        this.parent = parent;_x000a_        this.name = name;_x000a_        if (parent.getNode() instanceof Element) {_x000a_            Element element = (Element) parent.getNode();_x000a_            String lname = name.getName();_x000a_            String prefix = name.getPrefix();_x000a_            if (!lname.equals(&quot;*&quot;)) {_x000a_                attributes = new ArrayList();_x000a_                Namespace ns = getNamespace(element, prefix);_x000a_                if (ns != null) {_x000a_                    Attribute attr = element.getAttribute(lname, ns);_x000a_                    if (attr != null) {_x000a_                        attributes.add(attr);_x000a_                    }_x000a_                }_x000a_                else if (prefix == null) {_x000a_                    Attribute attr =_x000a_                        element.getAttribute(lname, Namespace.NO_NAMESPACE);_x000a_                    if (attr != null) {_x000a_                        attributes.add(attr);_x000a_                    }_x000a_                }_x000a_            }_x000a_            else {_x000a_                attributes = new ArrayList();_x000a_                List allAttributes = element.getAttributes();_x000a_                String testPrefix = name.getPrefix();_x000a_                if (testPrefix != null) {_x000a_                    Namespace ns = getNamespace(element, testPrefix);_x000a_                    if (ns == null) {_x000a_                        return;_x000a_                    }_x000a_                }_x000a__x000a_                for (int i = 0; i &lt; allAttributes.size(); i++) {_x000a_                    Attribute attr = (Attribute) allAttributes.get(i);_x000a_                    testAttribute(attr);_x000a_                }_x000a_            }_x000a_        }_x000a_    }_x000a__x000a_    private Namespace getNamespace(Element element, String prefix) {_x000a_        if (prefix == null) {_x000a_            return null;_x000a_        }_x000a_        if (prefix.equals(&quot;xml&quot;)) {_x000a_            return Namespace.XML_NAMESPACE;_x000a_        }_x000a_        Namespace ns = element.getNamespace(prefix);_x000a_        if (ns == null) {_x000a_            // TBD: no attributes_x000a_        }_x000a_        return ns;_x000a_    }_x000a__x000a_    private void testAttribute(Attribute attr) {_x000a_        String prefix = name.getPrefix();_x000a_        if (prefix != null) {_x000a_            Namespace ns = getNamespace((Element) parent.getNode(), prefix);_x000a_            if (attr.getNamespace().equals(ns)) {_x000a_                attributes.add(attr);_x000a_            }_x000a_        }_x000a_        else {_x000a_            attributes.add(attr);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4"/>
    <s v="org.apache.commons.jxpath.ri.model.dom.DOMModelTest::testAxisAttribute;org.apache.commons.jxpath.ri.model.dom.DOMModelTest::testNamespaceMapping;org.apache.commons.jxpath.ri.model.jdom.JDOMModelTest::testAxisAttribute;org.apache.commons.jxpath.ri.model.jdom.JDOMModelTest::testNamespaceMapping"/>
    <d v="2026-02-16T10:53:02"/>
    <n v="0"/>
    <n v="0"/>
    <n v="4"/>
    <n v="4"/>
    <n v="1"/>
  </r>
  <r>
    <x v="10"/>
    <n v="15"/>
    <s v="_x000a_Bug report URL: https://issues.apache.org/jira/browse/JXPATH-100_x000a__x000a_Original files:_x000a_---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import java.util.Collections;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pointers.add(ptr);_x000a_                        }_x000a_                    }_x000a_                }_x000a_            }_x000a_            Collections.sort(pointers);_x000a_            nodeSet.add(pointers);_x000a_        }_x000a_        return super.setPosition(position);_x000a_    }_x000a_}_x000a__x000a__x000a_---FILE_END---"/>
    <m/>
    <s v="failed"/>
    <n v="0"/>
    <m/>
    <d v="2026-03-05T04:51:09"/>
    <s v="JxPath"/>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import java.util.Collections;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ArrayList pointers = new ArrayList();_x000a_            for (int i = 0; i &lt; contexts.length; i++) {_x000a_                EvalContext ctx = (EvalContext) contexts[i];_x000a_                while (ctx.nextSet()) {_x000a_                    while (ctx.nextNode()) {_x000a_                        NodePointer ptr = ctx.getCurrentNodePointer();_x000a_                        if (!pointers.contains(ptr)) {_x000a_                            pointers.add(ptr);_x000a_                        }_x000a_                    }_x000a_                }_x000a_            }_x000a_            Collections.sort(pointers);_x000a_            BasicNodeSet nodeSet = (BasicNodeSet) getNodeSet();_x000a_            for (int i = 0; i &lt; pointers.size(); i++) {_x000a_                nodeSet.add((NodePointer) pointers.get(i));_x000a_            }_x000a_        }_x000a_        return super.setPosition(position);_x000a_    }_x000a_}_x000a_---FILE_END---"/>
    <m/>
    <s v="success"/>
    <n v="0"/>
    <m/>
    <d v="2026-02-16T10:54:12"/>
    <n v="1"/>
    <n v="0"/>
    <n v="0"/>
    <n v="0"/>
    <n v="0"/>
  </r>
  <r>
    <x v="10"/>
    <n v="17"/>
    <s v="_x000a_Bug report URL: https://issues.apache.org/jira/browse/JXPATH-109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Attr attr = element.getAttributeNodeNS(null, name.getName());_x000a_        if (attr != null) {_x000a_            return attr;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_x000a_                        parent.getNamespaceResolver().getNamespaceURI(prefix);_x000a_                    if (uri != null) {_x000a_                        ns = Namespace.getNamespace(prefix, uri);_x000a_                    }_x000a_                    if (ns == null) {_x000a_                        attributes = Collections.EMPTY_LIST;_x000a_                        return;_x000a_                    }_x000a_                }_x000a_            }_x000a_            _x000a_            String lname = name.getName();_x000a_            if (!lname.equals(&quot;*&quot;)) {_x000a_                if (prefix == null) {_x000a_                    ns = Namespace.NO_NAMESPACE;_x000a_                }_x000a_                _x000a_                if (ns == null) {_x000a_                    attributes = Collections.EMPTY_LIST;_x000a_                }_x000a_                else {_x000a_                    attributes = new ArrayList();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prefix == null ||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1"/>
    <s v="org.apache.commons.jxpath.ri.model.dom.DOMModelTest::testAxisAttribute"/>
    <d v="2026-03-05T04:54:15"/>
    <s v="JxPath"/>
    <n v="17"/>
    <s v="_x000a_            Bug report URL: https://issues.apache.org/jira/browse/JXPATH-109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LocalName = DOMNodePointer.getLocalName(attr);_x000a__x000a_        String testLocalName = name.getName();_x000a_        if (testLocalName.equals(&quot;*&quot;) || testLocalName.equals(nodeLocalName)) {_x000a_            String attrName = attr.getName();_x000a_            if (attrName.equals(&quot;xmlns&quot;) || attrName.startsWith(&quot;xmlns:&quot;)) {_x000a_                return false;_x000a_            }_x000a_            _x000a_            String testPrefix = name.getPrefix();_x000a_            if (testPrefix == null) {_x000a_                return true;_x000a_            }_x000a__x000a_            String nodePrefix = DOMNodePointer.getPrefix(attr);_x000a_            return equalStrings(testPrefix, nodePrefix);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attributes = new ArrayList();_x000a_        if (parent.getNode() instanceof Element) {_x000a_            Element element = (Element) parent.getNode();_x000a_            String lname = name.getName();_x000a_            if (!lname.equals(&quot;*&quot;)) {_x000a_                String prefix = name.getPrefix();_x000a_                Namespace ns;_x000a_                if (prefix != null) {_x000a_                    if (prefix.equals(&quot;xml&quot;)) {_x000a_                        ns = Namespace.XML_NAMESPACE;_x000a_                    }_x000a_                    else {_x000a_                        String uri =_x000a_                            parent.getNamespaceResolver().getNamespaceURI(_x000a_                                prefix);_x000a_                        if (uri == null) {_x000a_                            return;_x000a_                        }_x000a_                        ns = Namespace.getNamespace(prefix, uri);_x000a_                    }_x000a_                }_x000a_                else {_x000a_                    ns = Namespace.NO_NAMESPACE;_x000a_                }_x000a_                Attribute attr = element.getAttribute(lname, ns);_x000a_                if (attr != null) {_x000a_                    attributes.add(attr);_x000a_                }_x000a_            }_x000a_            else {_x000a_                String prefix = name.getPrefix();_x000a_                if (prefix == null) {_x000a_                    attributes.addAll(element.getAttributes());_x000a_                }_x000a_                else {_x000a_                    Namespace ns;_x000a_                    if (prefix.equals(&quot;xml&quot;)) {_x000a_                        ns = Namespace.XML_NAMESPACE;_x000a_                    }_x000a_                    else {_x000a_                        String uri =_x000a_                            parent.getNamespaceResolver().getNamespaceURI(_x000a_                                prefix);_x000a_                        if (uri == null) {_x000a_                            return;_x000a_                        }_x000a_                        ns = Namespace.getNamespace(prefix, uri);_x000a_                    }_x000a__x000a_                    List allAttributes = element.getAttributes();_x000a_                    for (int i = 0; i &lt; allAttributes.size(); i++) {_x000a_                        Attribute attr = (Attribute) allAttributes.get(i);_x000a_                        if (attr.getNamespace().equals(ns)) {_x000a_                            attributes.add(attr);_x000a_                        }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0"/>
    <m/>
    <d v="2026-02-16T10:57:09"/>
    <n v="0"/>
    <n v="1"/>
    <n v="1"/>
    <n v="0"/>
    <n v="1"/>
  </r>
  <r>
    <x v="10"/>
    <n v="18"/>
    <s v="_x000a_Bug report URL: https://issues.apache.org/jira/browse/JXPATH-115_x000a__x000a_Original files:_x000a_---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_x000a_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QName name = null;_x000a_            if (nodeTest instanceof NodeNameTest) {_x000a_                name = ((NodeNameTest) nodeTest).getNodeName();_x000a_            }_x000a_            iterator =_x000a_                parentContext.getCurrentNodePointer().attributeIterator(name);_x000a_        }_x000a_        if (iterator == null) {_x000a_            return false;_x000a_        }_x000a__x000a_        while (iterator.setPosition(iterator.getPosition() + 1)) {_x000a_            currentNodePointer = iterator.getNodePointer();_x000a_            if (nodeTest.test(currentNodePointer)) {_x000a_                return true;_x000a_            }_x000a_        }_x000a_        return false;_x000a_    }_x000a_}_x000a_---FILE_END---"/>
    <m/>
    <s v="failed"/>
    <n v="0"/>
    <m/>
    <d v="2026-03-05T04:55:36"/>
    <s v="JxPath"/>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QName name =_x000a_                nodeTest instanceof NodeNameTest_x000a_                    ? ((NodeNameTest) nodeTest).getNodeName()_x000a_                    : new QName(null, &quot;*&quot;);_x000a_            iterator =_x000a_                parentContext.getCurrentNodePointer().attributeIterator(name);_x000a_        }_x000a_        if (iterator == null) {_x000a_            return false;_x000a_        }_x000a_        while (iterator.setPosition(iterator.getPosition() + 1)) {_x000a_            NodePointer ptr = iterator.getNodePointer();_x000a_            if (nodeTest.test(ptr)) {_x000a_                currentNodePointer = ptr;_x000a_                return true;_x000a_            }_x000a_        }_x000a_        return false;_x000a_    }_x000a_}_x000a_---FILE_END---"/>
    <m/>
    <s v="failed"/>
    <n v="0"/>
    <m/>
    <d v="2026-02-16T10:59:17"/>
    <n v="0"/>
    <n v="0"/>
    <n v="0"/>
    <n v="0"/>
    <n v="0"/>
  </r>
  <r>
    <x v="10"/>
    <n v="20"/>
    <s v="_x000a_Bug report URL: https://issues.apache.org/jira/browse/JXPATH-149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double d2 = InfoSetUtil.doubleValue(value);_x000a_        if (Double.isNaN(d2)) {_x000a_            return false;_x000a_        }_x000a_        while (it.hasNext()) {_x000a_            Object element = it.next();_x000a_            double d1 = InfoSetUtil.doubleValue(element);_x000a_            if (Double.isNaN(d1)) {_x000a_                continue;_x000a_            }_x000a_            if (evaluateCompare(d1 == d2 ? 0 : d1 &lt; d2 ? -1 : 1))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double d = InfoSetUtil.doubleValue(lit.next());_x000a_            if (!Double.isNaN(d)) {_x000a_                left.add(new Double(d));_x000a_            }_x000a_        }_x000a_        if (left.isEmpty()) {_x000a_            return false;_x000a_        }_x000a_        while (rit.hasNext()) {_x000a_            double d2 = InfoSetUtil.doubleValue(rit.next());_x000a_            if (Double.isNaN(d2)) {_x000a_                continue;_x000a_            }_x000a_            for (Iterator it = left.iterator(); it.hasNext();) {_x000a_                double d1 = ((Double) it.next()).doubleValue();_x000a_                if (evaluateCompare(d1 == d2 ? 0 : d1 &lt; d2 ? -1 : 1)) {_x000a_                    return true;_x000a_                }_x000a_            }_x000a_        }_x000a_        return false;_x000a_    }_x000a__x000a_}_x000a_---FILE_END---"/>
    <m/>
    <s v="success"/>
    <n v="1"/>
    <s v="org.apache.commons.jxpath.ri.compiler.JXPath149Test::testComplexOperationWithVariables"/>
    <d v="2026-03-05T04:59:02"/>
    <s v="JxPath"/>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 false)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boolean reverse)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 reverse);_x000a_        }_x000a_        if (left instanceof Iterator) {_x000a_            return containsMatch((Iterator) left, right, reverse);_x000a_        }_x000a_        if (right instanceof Iterator) {_x000a_            return containsMatch((Iterator) right, left, !reverse);_x000a_        }_x000a_        double ld = InfoSetUtil.doubleValue(left);_x000a_        if (Double.isNaN(ld)) {_x000a_            return false;_x000a_        }_x000a_        double rd = InfoSetUtil.doubleValue(right);_x000a_        if (Double.isNaN(rd)) {_x000a_            return false;_x000a_        }_x000a_        int comparison = ld == rd ? 0 : ld &lt; rd ? -1 : 1;_x000a_        if (reverse) {_x000a_            comparison = -comparison;_x000a_        }_x000a_        return evaluateCompare(comparison);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boolean reverse) {_x000a_        while (it.hasNext()) {_x000a_            Object element = it.next();_x000a_            // The following is a recursive call_x000a_            if (compute(element, value, revers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boolean reverse) {_x000a_        HashSet left = new HashSet();_x000a_        while (lit.hasNext()) {_x000a_            left.add(lit.next());_x000a_        }_x000a_        while (rit.hasNext()) {_x000a_            if (containsMatch(left.iterator(), rit.next(), reverse)) {_x000a_                return true;_x000a_            }_x000a_        }_x000a_        return false;_x000a_    }_x000a__x000a_}_x000a_---FILE_END---"/>
    <m/>
    <s v="success"/>
    <n v="0"/>
    <m/>
    <d v="2026-02-16T11:01:44"/>
    <n v="0"/>
    <n v="1"/>
    <n v="1"/>
    <n v="0"/>
    <n v="1"/>
  </r>
  <r>
    <x v="10"/>
    <n v="21"/>
    <s v="_x000a_Bug report URL: https://issues.apache.org/jira/browse/JXPATH-151_x000a__x000a_Original files:_x000a_---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 {_x000a_            return false;_x000a_        }_x000a_        _x000a_        String pn = getPropertyName();_x000a_        String opn = other.getPropertyName();_x000a_        if (pn == null ? opn != null : !pn.equals(opn))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FILE_END---"/>
    <m/>
    <s v="success"/>
    <n v="2"/>
    <s v="org.apache.commons.jxpath.ri.model.JXPath151Test::testMapValueEquality;org.apache.commons.jxpath.ri.model.MixedModelTest::testNull"/>
    <d v="2026-03-05T05:00:53"/>
    <s v="JxPath"/>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return index == other.index;_x000a_    }_x000a__x000a_    public int compareChildNodePointers(_x000a_        NodePointer pointer1,_x000a_        NodePointer pointer2) {_x000a_        return getValuePointer().compareChildNodePointers(pointer1, pointer2);_x000a_    }_x000a__x000a_}_x000a_---FILE_END---"/>
    <m/>
    <s v="success"/>
    <n v="2"/>
    <s v="org.apache.commons.jxpath.ri.model.JXPath151Test::testMapValueEquality;org.apache.commons.jxpath.ri.model.MixedModelTest::testNull"/>
    <d v="2026-02-16T11:03:23"/>
    <n v="0"/>
    <n v="0"/>
    <n v="2"/>
    <n v="2"/>
    <n v="1"/>
  </r>
  <r>
    <x v="11"/>
    <n v="17"/>
    <s v="_x000a_Bug report URL: https://issues.apache.org/jira/browse/LANG-720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Character.codePointCount(input, 0, input.length());_x000a_        while (pos &lt; len) {_x000a_            int consumed = translate(input, pos, out);_x000a_            if (consumed == 0) {_x000a_                char[] c = Character.toChars(Character.codePointAt(input, pos));_x000a_                out.write(c);_x000a_            }_x000a_            else {_x000a_//          // contract with translators is that they have to understand codepoints _x000a_//          // and they just took care of a surrogate pair_x000a_            for (int pt = 0; pt &lt; consumed; pt++) {_x000a_                    if (pos &lt; len - 2) {_x000a_                pos += Character.charCount(Character.codePointAt(input, pos));_x000a_                    } else {_x000a_                        pos++;_x000a_                    }_x000a_                }_x000a_                pos--;_x000a_            }_x000a_            pos++;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 // last position in input sequence that is not consumed yet..._x000a_        int len = input.length();_x000a_        while (pos &lt; len) {_x000a_            int consumed = translate(input, pos, out); // ...so this is the index in input to start searching at_x000a_            if (consumed == 0) {_x000a_                out.write(input.charAt(pos));_x000a_                pos++;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0"/>
    <m/>
    <d v="2026-03-05T05:17:59"/>
    <s v="Lang"/>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 Can't be null given CharSequence API_x000a_                char[] c = Character.toChars(Character.codePointAt(input, pos));_x000a_                out.write(c);_x000a_                pos += c.length;_x000a_                continue;_x000a_            }_x000a_            // contract with translators is that they have to understand codepoints _x000a_            // and they just took care of a surrogate pair_x000a_            for (int pt = 0; pt &lt; consumed; pt++) {_x000a_                // It is possible for translate(B, 1, C) to go over a surrogate pair_x000a_                // so we have to use Character.charCount rather than Character.toChars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0"/>
    <m/>
    <d v="2026-02-16T11:13:52"/>
    <n v="0"/>
    <n v="0"/>
    <n v="0"/>
    <n v="0"/>
    <n v="0"/>
  </r>
  <r>
    <x v="11"/>
    <n v="19"/>
    <s v="_x000a_Bug report URL: https://issues.apache.org/jira/browse/LANG-710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2 &amp;&amp; input.charAt(index + 1) == '#') {_x000a_            int start = index + 2;_x000a_            boolean isHex = false;_x000a__x000a_            char firstChar = input.charAt(start);_x000a_            if(firstChar == 'x' || firstChar == 'X') {_x000a_                start++;_x000a_                isHex = true;_x000a__x000a_                // Check there's more than just an x after the &amp;#_x000a_                if(start == seqEnd) {_x000a_                    return 0;_x000a_                }_x000a_            }_x000a__x000a_            int end = start;_x000a_            // Note that this supports character codes without a ; on the end_x000a_            while(end &lt; seqEnd &amp;&amp; input.charAt(end) != ';') {_x000a_                end++;_x000a_            }_x000a__x000a_            boolean semiColon = end != seqEnd &amp;&amp; input.charAt(end) == ';';_x000a__x000a_            try {_x000a_                int entityValue;_x000a_                if(isHex) {_x000a_                    entityValue = Integer.parseInt(input.subSequence(start, end).toString(), 16);_x000a_                } else {_x000a_                    entityValue = Integer.parseInt(input.subSequence(start, end).toString(), 10);_x000a_                }_x000a__x000a_                if(entityValue &gt; 0xFFFF) {_x000a_                    char[] chrs = Character.toChars(entityValue);_x000a_                    out.write(chrs[0]);_x000a_                    out.write(chrs[1]);_x000a_                } else {_x000a_                    out.write(entityValue);_x000a_                }_x000a__x000a_            } catch(NumberFormatException nfe) {_x000a_                return 0;_x000a_            }_x000a__x000a_            return 2 + (end - start) + (isHex ? 1 : 0) + (semiColon ? 1 : 0);_x000a_        }_x000a_        return 0;_x000a_    }_x000a_}_x000a_---FILE_END---"/>
    <m/>
    <s v="success"/>
    <n v="1"/>
    <s v="org.apache.commons.lang3.text.translate.NumericEntityUnescaperTest::testUnfinishedEntity"/>
    <d v="2026-03-05T05:20:26"/>
    <s v="Lang"/>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if(input.charAt(index) == '&amp;' &amp;&amp; index &lt; seqEnd - 2 &amp;&amp; input.charAt(index + 1) == '#') {_x000a_            int start = index + 2;_x000a_            boolean isHex = false;_x000a__x000a_            char firstChar = input.charAt(start);_x000a_            if(firstChar == 'x' || firstChar == 'X') {_x000a_                start++;_x000a_                isHex = true;_x000a_                _x000a_                // Check there's still something to read_x000a_                if(start == seqEnd) {_x000a_                    return 0;_x000a_                }_x000a_            }_x000a__x000a_            int end = start;_x000a_            // Note that this supports character codes without a ; on the end_x000a_            while(end &lt; seqEnd &amp;&amp; input.charAt(end) != ';') {_x000a_                end++;_x000a_            }_x000a__x000a_            boolean semiNext = (end != seqEnd) &amp;&amp; (input.charAt(end) ==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if(entityValue &gt; 0xFFFF) {_x000a_                char[] chrs = Character.toChars(entityValue);_x000a_                out.write(chrs[0]);_x000a_                out.write(chrs[1]);_x000a_            } else {_x000a_                out.write(entityValue);_x000a_            }_x000a__x000a_            return (end - index) + (semiNext ? 1 : 0);_x000a_        }_x000a_        return 0;_x000a_    }_x000a_}_x000a_---FILE_END---"/>
    <m/>
    <s v="success"/>
    <n v="1"/>
    <s v="org.apache.commons.lang3.text.translate.NumericEntityUnescaperTest::testUnfinishedEntity"/>
    <d v="2026-02-16T11:16:10"/>
    <n v="0"/>
    <n v="0"/>
    <n v="1"/>
    <n v="1"/>
    <n v="1"/>
  </r>
  <r>
    <x v="11"/>
    <n v="28"/>
    <s v="_x000a_Bug report URL: https://issues.apache.org/jira/browse/LANG-617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 TODO: Protect from ArrayIndexOutOfBounds_x000a_        if(input.charAt(index) == '&amp;' &amp;&amp; input.charAt(index + 1) == '#') {_x000a_            int start = index + 2;_x000a_            boolean isHex = false;_x000a__x000a_            char firstChar = input.charAt(start);_x000a_            if(firstChar == 'x' || firstChar == 'X') {_x000a_                start++;_x000a_                isHex = true;_x000a_            }_x000a__x000a_            int end = start;_x000a_            while(input.charAt(end) != ';')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input.charAt(index) == '&amp;' &amp;&amp; index &lt; input.length() - 2 &amp;&amp; input.charAt(index + 1) == '#') {_x000a_            int start = index + 2;_x000a_            boolean isHex = false;_x000a__x000a_            char firstChar = input.charAt(start);_x000a_            if(firstChar == 'x' || firstChar == 'X') {_x000a_                start++;_x000a_                isHex = true;_x000a_                if(start == input.length()) {_x000a_                    return 0;_x000a_                }_x000a_            }_x000a__x000a_            int end = start;_x000a_            while(end &lt; input.length() &amp;&amp; input.charAt(end) != ';') {_x000a_                end++;_x000a_            }_x000a__x000a_            if(end == input.length())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FILE_END---"/>
    <m/>
    <s v="success"/>
    <n v="1"/>
    <s v="org.apache.commons.lang3.text.translate.NumericEntityUnescaperTest::testSupplementaryUnescaping"/>
    <d v="2026-03-05T05:22:50"/>
    <s v="Lang"/>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nt len = input.length();_x000a_        if(input.charAt(index) == '&amp;' &amp;&amp; index &lt; len - 2 &amp;&amp; input.charAt(index + 1) == '#') {_x000a_            int start = index + 2;_x000a_            boolean isHex = false;_x000a__x000a_            char firstChar = input.charAt(start);_x000a_            if(firstChar == 'x' || firstChar == 'X') {_x000a_                start++;_x000a_                isHex = true;_x000a__x000a_                // Check for &quot;&amp;#x;&quot;_x000a_                if(start == len) {_x000a_                    return 0;_x000a_                }_x000a_            }_x000a__x000a_            int end = start;_x000a_            while(end &lt; len &amp;&amp; input.charAt(end) != ';') {_x000a_                end++;_x000a_            }_x000a__x000a_            if(end == len)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if(entityValue &gt; 0xFFFF) {_x000a_                char[] chars = Character.toChars(entityValue);_x000a_                out.write(chars);_x000a_            } else {_x000a_                out.write(entityValue);_x000a_            }_x000a_            return 2 + (end - start) + (isHex ? 1 : 0) + 1;_x000a_        }_x000a_        return 0;_x000a_    }_x000a_}_x000a__x000a_---FILE_END---"/>
    <m/>
    <s v="success"/>
    <n v="0"/>
    <m/>
    <d v="2026-02-16T11:18:35"/>
    <n v="0"/>
    <n v="1"/>
    <n v="1"/>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52A13-245F-114C-89CB-07B639D241A6}" name="PivotTable10"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6" firstHeaderRow="0" firstDataRow="1" firstDataCol="1"/>
  <pivotFields count="23">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showAll="0"/>
    <pivotField dataField="1"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8">
    <i>
      <x/>
    </i>
    <i i="1">
      <x v="1"/>
    </i>
    <i i="2">
      <x v="2"/>
    </i>
    <i i="3">
      <x v="3"/>
    </i>
    <i i="4">
      <x v="4"/>
    </i>
    <i i="5">
      <x v="5"/>
    </i>
    <i i="6">
      <x v="6"/>
    </i>
    <i i="7">
      <x v="7"/>
    </i>
  </colItems>
  <dataFields count="8">
    <dataField name="Count of BUG" fld="1" subtotal="count" baseField="0" baseItem="0"/>
    <dataField name="Sum of COMPILE DIFF" fld="18" baseField="0" baseItem="0"/>
    <dataField name="Sum of NUM DIFF" fld="19" baseField="0" baseItem="0"/>
    <dataField name="Sum of UNION" fld="20" baseField="0" baseItem="0"/>
    <dataField name="Average of UNION" fld="20" subtotal="average" baseField="0" baseItem="0" numFmtId="2"/>
    <dataField name="Sum of INTERSECTION" fld="21" baseField="0" baseItem="0"/>
    <dataField name="Average of INTERSECTION" fld="21" subtotal="average" baseField="0" baseItem="0" numFmtId="2"/>
    <dataField name="Average of JACCARD" fld="2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A45B-30B5-A44B-A7DD-09B58C86A70F}">
  <dimension ref="A3:I16"/>
  <sheetViews>
    <sheetView tabSelected="1" workbookViewId="0">
      <selection activeCell="E12" sqref="E12"/>
    </sheetView>
  </sheetViews>
  <sheetFormatPr baseColWidth="10" defaultRowHeight="13" x14ac:dyDescent="0.15"/>
  <cols>
    <col min="1" max="1" width="14.5" bestFit="1" customWidth="1"/>
    <col min="2" max="2" width="12" bestFit="1" customWidth="1"/>
    <col min="3" max="3" width="19.33203125" bestFit="1" customWidth="1"/>
    <col min="4" max="4" width="15.1640625" bestFit="1" customWidth="1"/>
    <col min="5" max="5" width="12.6640625" bestFit="1" customWidth="1"/>
    <col min="6" max="6" width="15.83203125" bestFit="1" customWidth="1"/>
    <col min="7" max="7" width="20" bestFit="1" customWidth="1"/>
    <col min="8" max="8" width="23.33203125" bestFit="1" customWidth="1"/>
    <col min="9" max="9" width="18.6640625" bestFit="1" customWidth="1"/>
  </cols>
  <sheetData>
    <row r="3" spans="1:9" x14ac:dyDescent="0.15">
      <c r="A3" s="4" t="s">
        <v>626</v>
      </c>
      <c r="B3" t="s">
        <v>632</v>
      </c>
      <c r="C3" t="s">
        <v>628</v>
      </c>
      <c r="D3" t="s">
        <v>629</v>
      </c>
      <c r="E3" t="s">
        <v>630</v>
      </c>
      <c r="F3" t="s">
        <v>634</v>
      </c>
      <c r="G3" t="s">
        <v>631</v>
      </c>
      <c r="H3" t="s">
        <v>635</v>
      </c>
      <c r="I3" t="s">
        <v>633</v>
      </c>
    </row>
    <row r="4" spans="1:9" x14ac:dyDescent="0.15">
      <c r="A4" s="5" t="s">
        <v>0</v>
      </c>
      <c r="B4" s="7">
        <v>10</v>
      </c>
      <c r="C4" s="7">
        <v>1</v>
      </c>
      <c r="D4" s="7">
        <v>8</v>
      </c>
      <c r="E4" s="7">
        <v>19</v>
      </c>
      <c r="F4" s="6">
        <v>1.9</v>
      </c>
      <c r="G4" s="7">
        <v>11</v>
      </c>
      <c r="H4" s="6">
        <v>1.1000000000000001</v>
      </c>
      <c r="I4" s="6">
        <v>1.1333333333333333</v>
      </c>
    </row>
    <row r="5" spans="1:9" x14ac:dyDescent="0.15">
      <c r="A5" s="5" t="s">
        <v>15</v>
      </c>
      <c r="B5" s="7">
        <v>18</v>
      </c>
      <c r="C5" s="7">
        <v>2</v>
      </c>
      <c r="D5" s="7">
        <v>13</v>
      </c>
      <c r="E5" s="7">
        <v>48</v>
      </c>
      <c r="F5" s="6">
        <v>2.6666666666666665</v>
      </c>
      <c r="G5" s="7">
        <v>23</v>
      </c>
      <c r="H5" s="6">
        <v>1.2777777777777777</v>
      </c>
      <c r="I5" s="6">
        <v>1.9907407407407405</v>
      </c>
    </row>
    <row r="6" spans="1:9" x14ac:dyDescent="0.15">
      <c r="A6" s="5" t="s">
        <v>40</v>
      </c>
      <c r="B6" s="7">
        <v>3</v>
      </c>
      <c r="C6" s="7">
        <v>1</v>
      </c>
      <c r="D6" s="7">
        <v>13</v>
      </c>
      <c r="E6" s="7">
        <v>13</v>
      </c>
      <c r="F6" s="6">
        <v>4.333333333333333</v>
      </c>
      <c r="G6" s="7">
        <v>0</v>
      </c>
      <c r="H6" s="6">
        <v>0</v>
      </c>
      <c r="I6" s="6">
        <v>4.333333333333333</v>
      </c>
    </row>
    <row r="7" spans="1:9" x14ac:dyDescent="0.15">
      <c r="A7" s="5" t="s">
        <v>45</v>
      </c>
      <c r="B7" s="7">
        <v>6</v>
      </c>
      <c r="C7" s="7">
        <v>3</v>
      </c>
      <c r="D7" s="7">
        <v>5</v>
      </c>
      <c r="E7" s="7">
        <v>6</v>
      </c>
      <c r="F7" s="6">
        <v>1</v>
      </c>
      <c r="G7" s="7">
        <v>1</v>
      </c>
      <c r="H7" s="6">
        <v>0.16666666666666666</v>
      </c>
      <c r="I7" s="6">
        <v>1</v>
      </c>
    </row>
    <row r="8" spans="1:9" x14ac:dyDescent="0.15">
      <c r="A8" s="5" t="s">
        <v>109</v>
      </c>
      <c r="B8" s="7">
        <v>4</v>
      </c>
      <c r="C8" s="7">
        <v>1</v>
      </c>
      <c r="D8" s="7">
        <v>0</v>
      </c>
      <c r="E8" s="7">
        <v>6</v>
      </c>
      <c r="F8" s="6">
        <v>1.5</v>
      </c>
      <c r="G8" s="7">
        <v>6</v>
      </c>
      <c r="H8" s="6">
        <v>1.5</v>
      </c>
      <c r="I8" s="6">
        <v>0.5</v>
      </c>
    </row>
    <row r="9" spans="1:9" x14ac:dyDescent="0.15">
      <c r="A9" s="5" t="s">
        <v>120</v>
      </c>
      <c r="B9" s="7">
        <v>5</v>
      </c>
      <c r="C9" s="7">
        <v>0</v>
      </c>
      <c r="D9" s="7">
        <v>5</v>
      </c>
      <c r="E9" s="7">
        <v>10</v>
      </c>
      <c r="F9" s="6">
        <v>2</v>
      </c>
      <c r="G9" s="7">
        <v>3</v>
      </c>
      <c r="H9" s="6">
        <v>0.6</v>
      </c>
      <c r="I9" s="6">
        <v>1.0666666666666669</v>
      </c>
    </row>
    <row r="10" spans="1:9" x14ac:dyDescent="0.15">
      <c r="A10" s="5" t="s">
        <v>133</v>
      </c>
      <c r="B10" s="7">
        <v>5</v>
      </c>
      <c r="C10" s="7">
        <v>3</v>
      </c>
      <c r="D10" s="7">
        <v>3</v>
      </c>
      <c r="E10" s="7">
        <v>3</v>
      </c>
      <c r="F10" s="6">
        <v>0.6</v>
      </c>
      <c r="G10" s="7">
        <v>0</v>
      </c>
      <c r="H10" s="6">
        <v>0</v>
      </c>
      <c r="I10" s="6">
        <v>0.6</v>
      </c>
    </row>
    <row r="11" spans="1:9" x14ac:dyDescent="0.15">
      <c r="A11" s="5" t="s">
        <v>144</v>
      </c>
      <c r="B11" s="7">
        <v>28</v>
      </c>
      <c r="C11" s="7">
        <v>5</v>
      </c>
      <c r="D11" s="7">
        <v>493</v>
      </c>
      <c r="E11" s="7">
        <v>433</v>
      </c>
      <c r="F11" s="6">
        <v>15.464285714285714</v>
      </c>
      <c r="G11" s="7">
        <v>16</v>
      </c>
      <c r="H11" s="6">
        <v>0.5714285714285714</v>
      </c>
      <c r="I11" s="6">
        <v>15.279761904761903</v>
      </c>
    </row>
    <row r="12" spans="1:9" x14ac:dyDescent="0.15">
      <c r="A12" s="5" t="s">
        <v>215</v>
      </c>
      <c r="B12" s="7">
        <v>1</v>
      </c>
      <c r="C12" s="7">
        <v>0</v>
      </c>
      <c r="D12" s="7">
        <v>0</v>
      </c>
      <c r="E12" s="7">
        <v>0</v>
      </c>
      <c r="F12" s="6">
        <v>0</v>
      </c>
      <c r="G12" s="7">
        <v>0</v>
      </c>
      <c r="H12" s="6">
        <v>0</v>
      </c>
      <c r="I12" s="6">
        <v>0</v>
      </c>
    </row>
    <row r="13" spans="1:9" x14ac:dyDescent="0.15">
      <c r="A13" s="5" t="s">
        <v>218</v>
      </c>
      <c r="B13" s="7">
        <v>26</v>
      </c>
      <c r="C13" s="7">
        <v>5</v>
      </c>
      <c r="D13" s="7">
        <v>41</v>
      </c>
      <c r="E13" s="7">
        <v>70</v>
      </c>
      <c r="F13" s="6">
        <v>2.6923076923076925</v>
      </c>
      <c r="G13" s="7">
        <v>25</v>
      </c>
      <c r="H13" s="6">
        <v>0.96153846153846156</v>
      </c>
      <c r="I13" s="6">
        <v>1.9615384615384615</v>
      </c>
    </row>
    <row r="14" spans="1:9" x14ac:dyDescent="0.15">
      <c r="A14" s="5" t="s">
        <v>293</v>
      </c>
      <c r="B14" s="7">
        <v>13</v>
      </c>
      <c r="C14" s="7">
        <v>4</v>
      </c>
      <c r="D14" s="7">
        <v>10</v>
      </c>
      <c r="E14" s="7">
        <v>20</v>
      </c>
      <c r="F14" s="6">
        <v>1.5384615384615385</v>
      </c>
      <c r="G14" s="7">
        <v>10</v>
      </c>
      <c r="H14" s="6">
        <v>0.76923076923076927</v>
      </c>
      <c r="I14" s="6">
        <v>1.2307692307692308</v>
      </c>
    </row>
    <row r="15" spans="1:9" x14ac:dyDescent="0.15">
      <c r="A15" s="5" t="s">
        <v>330</v>
      </c>
      <c r="B15" s="7">
        <v>3</v>
      </c>
      <c r="C15" s="7">
        <v>0</v>
      </c>
      <c r="D15" s="7">
        <v>1</v>
      </c>
      <c r="E15" s="7">
        <v>2</v>
      </c>
      <c r="F15" s="6">
        <v>0.66666666666666663</v>
      </c>
      <c r="G15" s="7">
        <v>1</v>
      </c>
      <c r="H15" s="6">
        <v>0.33333333333333331</v>
      </c>
      <c r="I15" s="6">
        <v>0.66666666666666663</v>
      </c>
    </row>
    <row r="16" spans="1:9" x14ac:dyDescent="0.15">
      <c r="A16" s="5" t="s">
        <v>627</v>
      </c>
      <c r="B16" s="7">
        <v>122</v>
      </c>
      <c r="C16" s="7">
        <v>25</v>
      </c>
      <c r="D16" s="7">
        <v>592</v>
      </c>
      <c r="E16" s="7">
        <v>630</v>
      </c>
      <c r="F16" s="6">
        <v>5.1639344262295079</v>
      </c>
      <c r="G16" s="7">
        <v>96</v>
      </c>
      <c r="H16" s="6">
        <v>0.78688524590163933</v>
      </c>
      <c r="I16" s="6">
        <v>4.6994535519125673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74"/>
  <sheetViews>
    <sheetView topLeftCell="J1" workbookViewId="0">
      <selection activeCell="L5" sqref="L5"/>
    </sheetView>
  </sheetViews>
  <sheetFormatPr baseColWidth="10" defaultColWidth="12.6640625" defaultRowHeight="15.75" customHeight="1" x14ac:dyDescent="0.15"/>
  <cols>
    <col min="4" max="4" width="45.5" customWidth="1"/>
    <col min="9" max="9" width="17.83203125" bestFit="1" customWidth="1"/>
    <col min="18" max="18" width="17.83203125" bestFit="1" customWidth="1"/>
  </cols>
  <sheetData>
    <row r="1" spans="1:23" ht="15.75" customHeight="1" x14ac:dyDescent="0.15">
      <c r="A1" s="3" t="s">
        <v>339</v>
      </c>
      <c r="B1" s="3" t="s">
        <v>340</v>
      </c>
      <c r="C1" s="3" t="s">
        <v>341</v>
      </c>
      <c r="D1" s="3" t="s">
        <v>342</v>
      </c>
      <c r="E1" s="3" t="s">
        <v>343</v>
      </c>
      <c r="F1" s="3" t="s">
        <v>344</v>
      </c>
      <c r="G1" s="3" t="s">
        <v>345</v>
      </c>
      <c r="H1" s="3" t="s">
        <v>346</v>
      </c>
      <c r="I1" s="3" t="s">
        <v>347</v>
      </c>
      <c r="J1" s="3" t="s">
        <v>339</v>
      </c>
      <c r="K1" s="3" t="s">
        <v>340</v>
      </c>
      <c r="L1" s="3" t="s">
        <v>341</v>
      </c>
      <c r="M1" s="3" t="s">
        <v>342</v>
      </c>
      <c r="N1" s="3" t="s">
        <v>343</v>
      </c>
      <c r="O1" s="3" t="s">
        <v>344</v>
      </c>
      <c r="P1" s="3" t="s">
        <v>345</v>
      </c>
      <c r="Q1" s="3" t="s">
        <v>346</v>
      </c>
      <c r="R1" s="3" t="s">
        <v>347</v>
      </c>
      <c r="S1" s="3" t="s">
        <v>621</v>
      </c>
      <c r="T1" s="3" t="s">
        <v>622</v>
      </c>
      <c r="U1" s="3" t="s">
        <v>623</v>
      </c>
      <c r="V1" s="3" t="s">
        <v>624</v>
      </c>
      <c r="W1" s="3" t="s">
        <v>625</v>
      </c>
    </row>
    <row r="2" spans="1:23" ht="15.75" customHeight="1" x14ac:dyDescent="0.15">
      <c r="A2" s="1" t="s">
        <v>0</v>
      </c>
      <c r="B2" s="1">
        <v>1</v>
      </c>
      <c r="C2" s="1" t="s">
        <v>1</v>
      </c>
      <c r="D2" s="1" t="s">
        <v>47</v>
      </c>
      <c r="F2" s="1" t="s">
        <v>2</v>
      </c>
      <c r="G2" s="1">
        <v>1</v>
      </c>
      <c r="H2" s="1" t="s">
        <v>3</v>
      </c>
      <c r="I2" s="2">
        <v>46085.928769155289</v>
      </c>
      <c r="J2" s="1" t="s">
        <v>0</v>
      </c>
      <c r="K2" s="1">
        <v>1</v>
      </c>
      <c r="L2" s="1" t="s">
        <v>378</v>
      </c>
      <c r="M2" s="1" t="s">
        <v>379</v>
      </c>
      <c r="O2" s="1" t="s">
        <v>2</v>
      </c>
      <c r="P2" s="1">
        <v>1</v>
      </c>
      <c r="Q2" s="1" t="s">
        <v>3</v>
      </c>
      <c r="R2" s="2">
        <v>46069.214310850984</v>
      </c>
      <c r="S2">
        <f>IF(O2=F2, 0, 1)</f>
        <v>0</v>
      </c>
      <c r="T2">
        <f>ABS(P2-G2)</f>
        <v>0</v>
      </c>
      <c r="U2">
        <f>IF(AND(H2&lt;&gt;"",Q2&lt;&gt;""),
    COUNTA(_xlfn.UNIQUE(_xlfn.TOCOL(_xlfn.VSTACK(_xlfn.TEXTSPLIT(H2,";"), _xlfn.TEXTSPLIT(Q2,";")), 3))),
    IF(H2&lt;&gt;"",
        COUNTA(_xlfn.TEXTSPLIT(H2,";")),
        IF(Q2&lt;&gt;"",
            COUNTA(_xlfn.TEXTSPLIT(Q2,";")),
            0
        )
    )
)</f>
        <v>1</v>
      </c>
      <c r="V2" cm="1">
        <f t="array" ref="V2">IF(OR(H2="",Q2=""),
   0,
   SUM(--ISNUMBER(MATCH(TRIM(_xlfn.TEXTSPLIT(H2,";")),TRIM(_xlfn.TEXTSPLIT(Q2,";")),0)))
)</f>
        <v>1</v>
      </c>
      <c r="W2">
        <f>IF(V2=0, U2, U2/V2)</f>
        <v>1</v>
      </c>
    </row>
    <row r="3" spans="1:23" ht="15.75" customHeight="1" x14ac:dyDescent="0.15">
      <c r="A3" s="1" t="s">
        <v>0</v>
      </c>
      <c r="B3" s="1">
        <v>3</v>
      </c>
      <c r="C3" s="1" t="s">
        <v>9</v>
      </c>
      <c r="D3" s="1" t="s">
        <v>55</v>
      </c>
      <c r="F3" s="1" t="s">
        <v>37</v>
      </c>
      <c r="G3" s="1">
        <v>0</v>
      </c>
      <c r="I3" s="2">
        <v>46085.937921632081</v>
      </c>
      <c r="J3" s="1" t="s">
        <v>0</v>
      </c>
      <c r="K3" s="1">
        <v>3</v>
      </c>
      <c r="L3" s="1" t="s">
        <v>380</v>
      </c>
      <c r="M3" s="1" t="s">
        <v>381</v>
      </c>
      <c r="O3" s="1" t="s">
        <v>37</v>
      </c>
      <c r="P3" s="1">
        <v>0</v>
      </c>
      <c r="R3" s="2">
        <v>46069.21547460786</v>
      </c>
      <c r="S3">
        <f t="shared" ref="S3:S66" si="0">IF(O3=F3, 0, 1)</f>
        <v>0</v>
      </c>
      <c r="T3">
        <f t="shared" ref="T3:T66" si="1">ABS(P3-G3)</f>
        <v>0</v>
      </c>
      <c r="U3">
        <f t="shared" ref="U3:U66" si="2">IF(AND(H3&lt;&gt;"",Q3&lt;&gt;""),
    COUNTA(_xlfn.UNIQUE(_xlfn.TOCOL(_xlfn.VSTACK(_xlfn.TEXTSPLIT(H3,";"), _xlfn.TEXTSPLIT(Q3,";")), 3))),
    IF(H3&lt;&gt;"",
        COUNTA(_xlfn.TEXTSPLIT(H3,";")),
        IF(Q3&lt;&gt;"",
            COUNTA(_xlfn.TEXTSPLIT(Q3,";")),
            0
        )
    )
)</f>
        <v>0</v>
      </c>
      <c r="V3" cm="1">
        <f t="array" ref="V3">IF(OR(H3="",Q3=""),
   0,
   SUM(--ISNUMBER(MATCH(TRIM(_xlfn.TEXTSPLIT(H3,";")),TRIM(_xlfn.TEXTSPLIT(Q3,";")),0)))
)</f>
        <v>0</v>
      </c>
      <c r="W3">
        <f t="shared" ref="W3:W66" si="3">IF(V3=0, U3, U3/V3)</f>
        <v>0</v>
      </c>
    </row>
    <row r="4" spans="1:23" ht="15.75" customHeight="1" x14ac:dyDescent="0.15">
      <c r="A4" s="1" t="s">
        <v>0</v>
      </c>
      <c r="B4" s="1">
        <v>5</v>
      </c>
      <c r="C4" s="1" t="s">
        <v>12</v>
      </c>
      <c r="D4" s="1" t="s">
        <v>59</v>
      </c>
      <c r="F4" s="1" t="s">
        <v>2</v>
      </c>
      <c r="G4" s="1">
        <v>0</v>
      </c>
      <c r="I4" s="2">
        <v>46085.942556615184</v>
      </c>
      <c r="J4" s="1" t="s">
        <v>0</v>
      </c>
      <c r="K4" s="1">
        <v>5</v>
      </c>
      <c r="L4" s="1" t="s">
        <v>382</v>
      </c>
      <c r="M4" s="1" t="s">
        <v>383</v>
      </c>
      <c r="O4" s="1" t="s">
        <v>37</v>
      </c>
      <c r="P4" s="1">
        <v>0</v>
      </c>
      <c r="R4" s="2">
        <v>46069.215836574927</v>
      </c>
      <c r="S4">
        <f t="shared" si="0"/>
        <v>1</v>
      </c>
      <c r="T4">
        <f t="shared" si="1"/>
        <v>0</v>
      </c>
      <c r="U4">
        <f t="shared" si="2"/>
        <v>0</v>
      </c>
      <c r="V4" cm="1">
        <f t="array" ref="V4">IF(OR(H4="",Q4=""),
   0,
   SUM(--ISNUMBER(MATCH(TRIM(_xlfn.TEXTSPLIT(H4,";")),TRIM(_xlfn.TEXTSPLIT(Q4,";")),0)))
)</f>
        <v>0</v>
      </c>
      <c r="W4">
        <f t="shared" si="3"/>
        <v>0</v>
      </c>
    </row>
    <row r="5" spans="1:23" ht="15.75" customHeight="1" x14ac:dyDescent="0.15">
      <c r="A5" s="1" t="s">
        <v>0</v>
      </c>
      <c r="B5" s="1">
        <v>7</v>
      </c>
      <c r="C5" s="1" t="s">
        <v>13</v>
      </c>
      <c r="D5" s="1" t="s">
        <v>60</v>
      </c>
      <c r="F5" s="1" t="s">
        <v>2</v>
      </c>
      <c r="G5" s="1">
        <v>2</v>
      </c>
      <c r="H5" s="1" t="s">
        <v>14</v>
      </c>
      <c r="I5" s="2">
        <v>46085.944133753692</v>
      </c>
      <c r="J5" s="1" t="s">
        <v>0</v>
      </c>
      <c r="K5" s="1">
        <v>7</v>
      </c>
      <c r="L5" s="1" t="s">
        <v>384</v>
      </c>
      <c r="M5" s="1" t="s">
        <v>385</v>
      </c>
      <c r="O5" s="1" t="s">
        <v>2</v>
      </c>
      <c r="P5" s="1">
        <v>2</v>
      </c>
      <c r="Q5" s="1" t="s">
        <v>14</v>
      </c>
      <c r="R5" s="2">
        <v>46069.217125519732</v>
      </c>
      <c r="S5">
        <f t="shared" si="0"/>
        <v>0</v>
      </c>
      <c r="T5">
        <f t="shared" si="1"/>
        <v>0</v>
      </c>
      <c r="U5">
        <f t="shared" si="2"/>
        <v>2</v>
      </c>
      <c r="V5" cm="1">
        <f t="array" ref="V5">IF(OR(H5="",Q5=""),
   0,
   SUM(--ISNUMBER(MATCH(TRIM(_xlfn.TEXTSPLIT(H5,";")),TRIM(_xlfn.TEXTSPLIT(Q5,";")),0)))
)</f>
        <v>2</v>
      </c>
      <c r="W5">
        <f t="shared" si="3"/>
        <v>1</v>
      </c>
    </row>
    <row r="6" spans="1:23" ht="15.75" customHeight="1" x14ac:dyDescent="0.15">
      <c r="A6" s="1" t="s">
        <v>0</v>
      </c>
      <c r="B6" s="1">
        <v>12</v>
      </c>
      <c r="C6" s="1" t="s">
        <v>4</v>
      </c>
      <c r="D6" s="1" t="s">
        <v>48</v>
      </c>
      <c r="F6" s="1" t="s">
        <v>2</v>
      </c>
      <c r="G6" s="1">
        <v>3</v>
      </c>
      <c r="H6" s="1" t="s">
        <v>49</v>
      </c>
      <c r="I6" s="2">
        <v>46085.930377027718</v>
      </c>
      <c r="J6" s="1" t="s">
        <v>0</v>
      </c>
      <c r="K6" s="1">
        <v>12</v>
      </c>
      <c r="L6" s="1" t="s">
        <v>386</v>
      </c>
      <c r="M6" s="1" t="s">
        <v>387</v>
      </c>
      <c r="O6" s="1" t="s">
        <v>2</v>
      </c>
      <c r="P6" s="1">
        <v>0</v>
      </c>
      <c r="R6" s="2">
        <v>46069.218677184945</v>
      </c>
      <c r="S6">
        <f t="shared" si="0"/>
        <v>0</v>
      </c>
      <c r="T6">
        <f t="shared" si="1"/>
        <v>3</v>
      </c>
      <c r="U6">
        <f t="shared" si="2"/>
        <v>3</v>
      </c>
      <c r="V6" cm="1">
        <f t="array" ref="V6">IF(OR(H6="",Q6=""),
   0,
   SUM(--ISNUMBER(MATCH(TRIM(_xlfn.TEXTSPLIT(H6,";")),TRIM(_xlfn.TEXTSPLIT(Q6,";")),0)))
)</f>
        <v>0</v>
      </c>
      <c r="W6">
        <f t="shared" si="3"/>
        <v>3</v>
      </c>
    </row>
    <row r="7" spans="1:23" ht="15.75" customHeight="1" x14ac:dyDescent="0.15">
      <c r="A7" s="1" t="s">
        <v>0</v>
      </c>
      <c r="B7" s="1">
        <v>15</v>
      </c>
      <c r="C7" s="1" t="s">
        <v>5</v>
      </c>
      <c r="D7" s="1" t="s">
        <v>50</v>
      </c>
      <c r="F7" s="1" t="s">
        <v>2</v>
      </c>
      <c r="G7" s="1">
        <v>8</v>
      </c>
      <c r="H7" s="1" t="s">
        <v>51</v>
      </c>
      <c r="I7" s="2">
        <v>46085.931861448298</v>
      </c>
      <c r="J7" s="1" t="s">
        <v>0</v>
      </c>
      <c r="K7" s="1">
        <v>15</v>
      </c>
      <c r="L7" s="1" t="s">
        <v>388</v>
      </c>
      <c r="M7" s="1" t="s">
        <v>389</v>
      </c>
      <c r="O7" s="1" t="s">
        <v>2</v>
      </c>
      <c r="P7" s="1">
        <v>6</v>
      </c>
      <c r="Q7" s="1" t="s">
        <v>348</v>
      </c>
      <c r="R7" s="2">
        <v>46069.220021136745</v>
      </c>
      <c r="S7">
        <f t="shared" si="0"/>
        <v>0</v>
      </c>
      <c r="T7">
        <f t="shared" si="1"/>
        <v>2</v>
      </c>
      <c r="U7">
        <f t="shared" si="2"/>
        <v>8</v>
      </c>
      <c r="V7" cm="1">
        <f t="array" ref="V7">IF(OR(H7="",Q7=""),
   0,
   SUM(--ISNUMBER(MATCH(TRIM(_xlfn.TEXTSPLIT(H7,";")),TRIM(_xlfn.TEXTSPLIT(Q7,";")),0)))
)</f>
        <v>6</v>
      </c>
      <c r="W7">
        <f t="shared" si="3"/>
        <v>1.3333333333333333</v>
      </c>
    </row>
    <row r="8" spans="1:23" ht="15.75" customHeight="1" x14ac:dyDescent="0.15">
      <c r="A8" s="1" t="s">
        <v>0</v>
      </c>
      <c r="B8" s="1">
        <v>27</v>
      </c>
      <c r="C8" s="1" t="s">
        <v>6</v>
      </c>
      <c r="D8" s="1" t="s">
        <v>52</v>
      </c>
      <c r="F8" s="1" t="s">
        <v>2</v>
      </c>
      <c r="G8" s="1">
        <v>3</v>
      </c>
      <c r="H8" s="1" t="s">
        <v>53</v>
      </c>
      <c r="I8" s="2">
        <v>46085.935231162126</v>
      </c>
      <c r="J8" s="1" t="s">
        <v>0</v>
      </c>
      <c r="K8" s="1">
        <v>27</v>
      </c>
      <c r="L8" s="1" t="s">
        <v>390</v>
      </c>
      <c r="M8" s="1" t="s">
        <v>391</v>
      </c>
      <c r="O8" s="1" t="s">
        <v>2</v>
      </c>
      <c r="P8" s="1">
        <v>0</v>
      </c>
      <c r="R8" s="2">
        <v>46069.221070036387</v>
      </c>
      <c r="S8">
        <f t="shared" si="0"/>
        <v>0</v>
      </c>
      <c r="T8">
        <f t="shared" si="1"/>
        <v>3</v>
      </c>
      <c r="U8">
        <f t="shared" si="2"/>
        <v>3</v>
      </c>
      <c r="V8" cm="1">
        <f t="array" ref="V8">IF(OR(H8="",Q8=""),
   0,
   SUM(--ISNUMBER(MATCH(TRIM(_xlfn.TEXTSPLIT(H8,";")),TRIM(_xlfn.TEXTSPLIT(Q8,";")),0)))
)</f>
        <v>0</v>
      </c>
      <c r="W8">
        <f t="shared" si="3"/>
        <v>3</v>
      </c>
    </row>
    <row r="9" spans="1:23" ht="15.75" customHeight="1" x14ac:dyDescent="0.15">
      <c r="A9" s="1" t="s">
        <v>0</v>
      </c>
      <c r="B9" s="1">
        <v>29</v>
      </c>
      <c r="C9" s="1" t="s">
        <v>7</v>
      </c>
      <c r="D9" s="1" t="s">
        <v>54</v>
      </c>
      <c r="F9" s="1" t="s">
        <v>2</v>
      </c>
      <c r="G9" s="1">
        <v>1</v>
      </c>
      <c r="H9" s="1" t="s">
        <v>8</v>
      </c>
      <c r="I9" s="2">
        <v>46085.936595421656</v>
      </c>
      <c r="J9" s="1" t="s">
        <v>0</v>
      </c>
      <c r="K9" s="1">
        <v>29</v>
      </c>
      <c r="L9" s="1" t="s">
        <v>392</v>
      </c>
      <c r="M9" s="1" t="s">
        <v>393</v>
      </c>
      <c r="O9" s="1" t="s">
        <v>2</v>
      </c>
      <c r="P9" s="1">
        <v>1</v>
      </c>
      <c r="Q9" s="1" t="s">
        <v>8</v>
      </c>
      <c r="R9" s="2">
        <v>46069.221844647858</v>
      </c>
      <c r="S9">
        <f t="shared" si="0"/>
        <v>0</v>
      </c>
      <c r="T9">
        <f t="shared" si="1"/>
        <v>0</v>
      </c>
      <c r="U9">
        <f t="shared" si="2"/>
        <v>1</v>
      </c>
      <c r="V9" cm="1">
        <f t="array" ref="V9">IF(OR(H9="",Q9=""),
   0,
   SUM(--ISNUMBER(MATCH(TRIM(_xlfn.TEXTSPLIT(H9,";")),TRIM(_xlfn.TEXTSPLIT(Q9,";")),0)))
)</f>
        <v>1</v>
      </c>
      <c r="W9">
        <f t="shared" si="3"/>
        <v>1</v>
      </c>
    </row>
    <row r="10" spans="1:23" ht="15.75" customHeight="1" x14ac:dyDescent="0.15">
      <c r="A10" s="1" t="s">
        <v>0</v>
      </c>
      <c r="B10" s="1">
        <v>39</v>
      </c>
      <c r="C10" s="1" t="s">
        <v>10</v>
      </c>
      <c r="D10" s="1" t="s">
        <v>56</v>
      </c>
      <c r="F10" s="1" t="s">
        <v>2</v>
      </c>
      <c r="G10" s="1">
        <v>0</v>
      </c>
      <c r="I10" s="2">
        <v>46085.939334403229</v>
      </c>
      <c r="J10" s="1" t="s">
        <v>0</v>
      </c>
      <c r="K10" s="1">
        <v>39</v>
      </c>
      <c r="L10" s="1" t="s">
        <v>394</v>
      </c>
      <c r="M10" s="1" t="s">
        <v>395</v>
      </c>
      <c r="O10" s="1" t="s">
        <v>2</v>
      </c>
      <c r="P10" s="1">
        <v>0</v>
      </c>
      <c r="R10" s="2">
        <v>46069.222940086423</v>
      </c>
      <c r="S10">
        <f t="shared" si="0"/>
        <v>0</v>
      </c>
      <c r="T10">
        <f t="shared" si="1"/>
        <v>0</v>
      </c>
      <c r="U10">
        <f t="shared" si="2"/>
        <v>0</v>
      </c>
      <c r="V10" cm="1">
        <f t="array" ref="V10">IF(OR(H10="",Q10=""),
   0,
   SUM(--ISNUMBER(MATCH(TRIM(_xlfn.TEXTSPLIT(H10,";")),TRIM(_xlfn.TEXTSPLIT(Q10,";")),0)))
)</f>
        <v>0</v>
      </c>
      <c r="W10">
        <f t="shared" si="3"/>
        <v>0</v>
      </c>
    </row>
    <row r="11" spans="1:23" ht="15.75" customHeight="1" x14ac:dyDescent="0.15">
      <c r="A11" s="1" t="s">
        <v>0</v>
      </c>
      <c r="B11" s="1">
        <v>40</v>
      </c>
      <c r="C11" s="1" t="s">
        <v>11</v>
      </c>
      <c r="D11" s="1" t="s">
        <v>57</v>
      </c>
      <c r="F11" s="1" t="s">
        <v>2</v>
      </c>
      <c r="G11" s="1">
        <v>1</v>
      </c>
      <c r="H11" s="1" t="s">
        <v>58</v>
      </c>
      <c r="I11" s="2">
        <v>46085.941130860854</v>
      </c>
      <c r="J11" s="1" t="s">
        <v>0</v>
      </c>
      <c r="K11" s="1">
        <v>40</v>
      </c>
      <c r="L11" s="1" t="s">
        <v>396</v>
      </c>
      <c r="M11" s="1" t="s">
        <v>397</v>
      </c>
      <c r="O11" s="1" t="s">
        <v>2</v>
      </c>
      <c r="P11" s="1">
        <v>1</v>
      </c>
      <c r="Q11" s="1" t="s">
        <v>58</v>
      </c>
      <c r="R11" s="2">
        <v>46069.225969463019</v>
      </c>
      <c r="S11">
        <f t="shared" si="0"/>
        <v>0</v>
      </c>
      <c r="T11">
        <f t="shared" si="1"/>
        <v>0</v>
      </c>
      <c r="U11">
        <f t="shared" si="2"/>
        <v>1</v>
      </c>
      <c r="V11" cm="1">
        <f t="array" ref="V11">IF(OR(H11="",Q11=""),
   0,
   SUM(--ISNUMBER(MATCH(TRIM(_xlfn.TEXTSPLIT(H11,";")),TRIM(_xlfn.TEXTSPLIT(Q11,";")),0)))
)</f>
        <v>1</v>
      </c>
      <c r="W11">
        <f t="shared" si="3"/>
        <v>1</v>
      </c>
    </row>
    <row r="12" spans="1:23" ht="15.75" customHeight="1" x14ac:dyDescent="0.15">
      <c r="A12" s="1" t="s">
        <v>15</v>
      </c>
      <c r="B12" s="1">
        <v>8</v>
      </c>
      <c r="C12" s="1" t="s">
        <v>35</v>
      </c>
      <c r="D12" s="1" t="s">
        <v>83</v>
      </c>
      <c r="F12" s="1" t="s">
        <v>2</v>
      </c>
      <c r="G12" s="1">
        <v>3</v>
      </c>
      <c r="H12" s="1" t="s">
        <v>84</v>
      </c>
      <c r="I12" s="2">
        <v>46086.020310175772</v>
      </c>
      <c r="J12" s="1" t="s">
        <v>15</v>
      </c>
      <c r="K12" s="1">
        <v>8</v>
      </c>
      <c r="L12" s="1" t="s">
        <v>398</v>
      </c>
      <c r="M12" s="1" t="s">
        <v>399</v>
      </c>
      <c r="O12" s="1" t="s">
        <v>2</v>
      </c>
      <c r="P12" s="1">
        <v>3</v>
      </c>
      <c r="Q12" s="1" t="s">
        <v>349</v>
      </c>
      <c r="R12" s="2">
        <v>46069.229973101457</v>
      </c>
      <c r="S12">
        <f t="shared" si="0"/>
        <v>0</v>
      </c>
      <c r="T12">
        <f t="shared" si="1"/>
        <v>0</v>
      </c>
      <c r="U12">
        <f t="shared" si="2"/>
        <v>5</v>
      </c>
      <c r="V12" cm="1">
        <f t="array" ref="V12">IF(OR(H12="",Q12=""),
   0,
   SUM(--ISNUMBER(MATCH(TRIM(_xlfn.TEXTSPLIT(H12,";")),TRIM(_xlfn.TEXTSPLIT(Q12,";")),0)))
)</f>
        <v>1</v>
      </c>
      <c r="W12">
        <f t="shared" si="3"/>
        <v>5</v>
      </c>
    </row>
    <row r="13" spans="1:23" ht="15.75" customHeight="1" x14ac:dyDescent="0.15">
      <c r="A13" s="1" t="s">
        <v>15</v>
      </c>
      <c r="B13" s="1">
        <v>13</v>
      </c>
      <c r="C13" s="1" t="s">
        <v>21</v>
      </c>
      <c r="D13" s="1" t="s">
        <v>68</v>
      </c>
      <c r="F13" s="1" t="s">
        <v>2</v>
      </c>
      <c r="G13" s="1">
        <v>1</v>
      </c>
      <c r="H13" s="1" t="s">
        <v>69</v>
      </c>
      <c r="I13" s="2">
        <v>46085.971549171976</v>
      </c>
      <c r="J13" s="1" t="s">
        <v>15</v>
      </c>
      <c r="K13" s="1">
        <v>13</v>
      </c>
      <c r="L13" s="1" t="s">
        <v>400</v>
      </c>
      <c r="M13" s="1" t="s">
        <v>401</v>
      </c>
      <c r="O13" s="1" t="s">
        <v>2</v>
      </c>
      <c r="P13" s="1">
        <v>0</v>
      </c>
      <c r="R13" s="2">
        <v>46069.234111946826</v>
      </c>
      <c r="S13">
        <f t="shared" si="0"/>
        <v>0</v>
      </c>
      <c r="T13">
        <f t="shared" si="1"/>
        <v>1</v>
      </c>
      <c r="U13">
        <f t="shared" si="2"/>
        <v>1</v>
      </c>
      <c r="V13" cm="1">
        <f t="array" ref="V13">IF(OR(H13="",Q13=""),
   0,
   SUM(--ISNUMBER(MATCH(TRIM(_xlfn.TEXTSPLIT(H13,";")),TRIM(_xlfn.TEXTSPLIT(Q13,";")),0)))
)</f>
        <v>0</v>
      </c>
      <c r="W13">
        <f t="shared" si="3"/>
        <v>1</v>
      </c>
    </row>
    <row r="14" spans="1:23" ht="15.75" customHeight="1" x14ac:dyDescent="0.15">
      <c r="A14" s="1" t="s">
        <v>15</v>
      </c>
      <c r="B14" s="1">
        <v>21</v>
      </c>
      <c r="C14" s="1" t="s">
        <v>25</v>
      </c>
      <c r="D14" s="1" t="s">
        <v>73</v>
      </c>
      <c r="F14" s="1" t="s">
        <v>2</v>
      </c>
      <c r="G14" s="1">
        <v>2</v>
      </c>
      <c r="H14" s="1" t="s">
        <v>26</v>
      </c>
      <c r="I14" s="2">
        <v>46085.984763592081</v>
      </c>
      <c r="J14" s="1" t="s">
        <v>15</v>
      </c>
      <c r="K14" s="1">
        <v>21</v>
      </c>
      <c r="L14" s="1" t="s">
        <v>402</v>
      </c>
      <c r="M14" s="1" t="s">
        <v>403</v>
      </c>
      <c r="O14" s="1" t="s">
        <v>2</v>
      </c>
      <c r="P14" s="1">
        <v>1</v>
      </c>
      <c r="Q14" s="1" t="s">
        <v>75</v>
      </c>
      <c r="R14" s="2">
        <v>46069.237854560255</v>
      </c>
      <c r="S14">
        <f t="shared" si="0"/>
        <v>0</v>
      </c>
      <c r="T14">
        <f t="shared" si="1"/>
        <v>1</v>
      </c>
      <c r="U14">
        <f t="shared" si="2"/>
        <v>2</v>
      </c>
      <c r="V14" cm="1">
        <f t="array" ref="V14">IF(OR(H14="",Q14=""),
   0,
   SUM(--ISNUMBER(MATCH(TRIM(_xlfn.TEXTSPLIT(H14,";")),TRIM(_xlfn.TEXTSPLIT(Q14,";")),0)))
)</f>
        <v>1</v>
      </c>
      <c r="W14">
        <f t="shared" si="3"/>
        <v>2</v>
      </c>
    </row>
    <row r="15" spans="1:23" ht="15.75" customHeight="1" x14ac:dyDescent="0.15">
      <c r="A15" s="1" t="s">
        <v>15</v>
      </c>
      <c r="B15" s="1">
        <v>22</v>
      </c>
      <c r="C15" s="1" t="s">
        <v>27</v>
      </c>
      <c r="D15" s="1" t="s">
        <v>74</v>
      </c>
      <c r="F15" s="1" t="s">
        <v>2</v>
      </c>
      <c r="G15" s="1">
        <v>1</v>
      </c>
      <c r="H15" s="1" t="s">
        <v>75</v>
      </c>
      <c r="I15" s="2">
        <v>46085.988636918562</v>
      </c>
      <c r="J15" s="1" t="s">
        <v>15</v>
      </c>
      <c r="K15" s="1">
        <v>22</v>
      </c>
      <c r="L15" s="1" t="s">
        <v>404</v>
      </c>
      <c r="M15" s="1" t="s">
        <v>405</v>
      </c>
      <c r="O15" s="1" t="s">
        <v>37</v>
      </c>
      <c r="P15" s="1">
        <v>0</v>
      </c>
      <c r="R15" s="2">
        <v>46069.240452011276</v>
      </c>
      <c r="S15">
        <f t="shared" si="0"/>
        <v>1</v>
      </c>
      <c r="T15">
        <f t="shared" si="1"/>
        <v>1</v>
      </c>
      <c r="U15">
        <f t="shared" si="2"/>
        <v>1</v>
      </c>
      <c r="V15" cm="1">
        <f t="array" ref="V15">IF(OR(H15="",Q15=""),
   0,
   SUM(--ISNUMBER(MATCH(TRIM(_xlfn.TEXTSPLIT(H15,";")),TRIM(_xlfn.TEXTSPLIT(Q15,";")),0)))
)</f>
        <v>0</v>
      </c>
      <c r="W15">
        <f t="shared" si="3"/>
        <v>1</v>
      </c>
    </row>
    <row r="16" spans="1:23" ht="15.75" customHeight="1" x14ac:dyDescent="0.15">
      <c r="A16" s="1" t="s">
        <v>15</v>
      </c>
      <c r="B16" s="1">
        <v>28</v>
      </c>
      <c r="C16" s="1" t="s">
        <v>28</v>
      </c>
      <c r="D16" s="1" t="s">
        <v>76</v>
      </c>
      <c r="F16" s="1" t="s">
        <v>2</v>
      </c>
      <c r="G16" s="1">
        <v>2</v>
      </c>
      <c r="H16" s="1" t="s">
        <v>29</v>
      </c>
      <c r="I16" s="2">
        <v>46085.995056227839</v>
      </c>
      <c r="J16" s="1" t="s">
        <v>15</v>
      </c>
      <c r="K16" s="1">
        <v>28</v>
      </c>
      <c r="L16" s="1" t="s">
        <v>406</v>
      </c>
      <c r="M16" s="1" t="s">
        <v>407</v>
      </c>
      <c r="O16" s="1" t="s">
        <v>2</v>
      </c>
      <c r="P16" s="1">
        <v>2</v>
      </c>
      <c r="Q16" s="1" t="s">
        <v>29</v>
      </c>
      <c r="R16" s="2">
        <v>46069.243785819039</v>
      </c>
      <c r="S16">
        <f t="shared" si="0"/>
        <v>0</v>
      </c>
      <c r="T16">
        <f t="shared" si="1"/>
        <v>0</v>
      </c>
      <c r="U16">
        <f t="shared" si="2"/>
        <v>2</v>
      </c>
      <c r="V16" cm="1">
        <f t="array" ref="V16">IF(OR(H16="",Q16=""),
   0,
   SUM(--ISNUMBER(MATCH(TRIM(_xlfn.TEXTSPLIT(H16,";")),TRIM(_xlfn.TEXTSPLIT(Q16,";")),0)))
)</f>
        <v>2</v>
      </c>
      <c r="W16">
        <f t="shared" si="3"/>
        <v>1</v>
      </c>
    </row>
    <row r="17" spans="1:23" ht="15.75" customHeight="1" x14ac:dyDescent="0.15">
      <c r="A17" s="1" t="s">
        <v>15</v>
      </c>
      <c r="B17" s="1">
        <v>38</v>
      </c>
      <c r="C17" s="1" t="s">
        <v>30</v>
      </c>
      <c r="D17" s="1" t="s">
        <v>77</v>
      </c>
      <c r="F17" s="1" t="s">
        <v>2</v>
      </c>
      <c r="G17" s="1">
        <v>1</v>
      </c>
      <c r="H17" s="1" t="s">
        <v>31</v>
      </c>
      <c r="I17" s="2">
        <v>46085.999775583979</v>
      </c>
      <c r="J17" s="1" t="s">
        <v>15</v>
      </c>
      <c r="K17" s="1">
        <v>38</v>
      </c>
      <c r="L17" s="1" t="s">
        <v>408</v>
      </c>
      <c r="M17" s="1" t="s">
        <v>409</v>
      </c>
      <c r="O17" s="1" t="s">
        <v>37</v>
      </c>
      <c r="P17" s="1">
        <v>0</v>
      </c>
      <c r="R17" s="2">
        <v>46069.245420377352</v>
      </c>
      <c r="S17">
        <f t="shared" si="0"/>
        <v>1</v>
      </c>
      <c r="T17">
        <f t="shared" si="1"/>
        <v>1</v>
      </c>
      <c r="U17">
        <f t="shared" si="2"/>
        <v>1</v>
      </c>
      <c r="V17" cm="1">
        <f t="array" ref="V17">IF(OR(H17="",Q17=""),
   0,
   SUM(--ISNUMBER(MATCH(TRIM(_xlfn.TEXTSPLIT(H17,";")),TRIM(_xlfn.TEXTSPLIT(Q17,";")),0)))
)</f>
        <v>0</v>
      </c>
      <c r="W17">
        <f t="shared" si="3"/>
        <v>1</v>
      </c>
    </row>
    <row r="18" spans="1:23" ht="15.75" customHeight="1" x14ac:dyDescent="0.15">
      <c r="A18" s="1" t="s">
        <v>15</v>
      </c>
      <c r="B18" s="1">
        <v>44</v>
      </c>
      <c r="C18" s="1" t="s">
        <v>32</v>
      </c>
      <c r="D18" s="1" t="s">
        <v>78</v>
      </c>
      <c r="F18" s="1" t="s">
        <v>2</v>
      </c>
      <c r="G18" s="1">
        <v>0</v>
      </c>
      <c r="I18" s="2">
        <v>46086.003106657394</v>
      </c>
      <c r="J18" s="1" t="s">
        <v>15</v>
      </c>
      <c r="K18" s="1">
        <v>44</v>
      </c>
      <c r="L18" s="1" t="s">
        <v>410</v>
      </c>
      <c r="M18" s="1" t="s">
        <v>411</v>
      </c>
      <c r="O18" s="1" t="s">
        <v>2</v>
      </c>
      <c r="P18" s="1">
        <v>0</v>
      </c>
      <c r="R18" s="2">
        <v>46069.249155551792</v>
      </c>
      <c r="S18">
        <f t="shared" si="0"/>
        <v>0</v>
      </c>
      <c r="T18">
        <f t="shared" si="1"/>
        <v>0</v>
      </c>
      <c r="U18">
        <f t="shared" si="2"/>
        <v>0</v>
      </c>
      <c r="V18" cm="1">
        <f t="array" ref="V18">IF(OR(H18="",Q18=""),
   0,
   SUM(--ISNUMBER(MATCH(TRIM(_xlfn.TEXTSPLIT(H18,";")),TRIM(_xlfn.TEXTSPLIT(Q18,";")),0)))
)</f>
        <v>0</v>
      </c>
      <c r="W18">
        <f t="shared" si="3"/>
        <v>0</v>
      </c>
    </row>
    <row r="19" spans="1:23" ht="15.75" customHeight="1" x14ac:dyDescent="0.15">
      <c r="A19" s="1" t="s">
        <v>15</v>
      </c>
      <c r="B19" s="1">
        <v>51</v>
      </c>
      <c r="C19" s="1" t="s">
        <v>33</v>
      </c>
      <c r="D19" s="1" t="s">
        <v>79</v>
      </c>
      <c r="F19" s="1" t="s">
        <v>2</v>
      </c>
      <c r="G19" s="1">
        <v>1</v>
      </c>
      <c r="H19" s="1" t="s">
        <v>80</v>
      </c>
      <c r="I19" s="2">
        <v>46086.007147275101</v>
      </c>
      <c r="J19" s="1" t="s">
        <v>15</v>
      </c>
      <c r="K19" s="1">
        <v>51</v>
      </c>
      <c r="L19" s="1" t="s">
        <v>412</v>
      </c>
      <c r="M19" s="1" t="s">
        <v>413</v>
      </c>
      <c r="O19" s="1" t="s">
        <v>2</v>
      </c>
      <c r="P19" s="1">
        <v>1</v>
      </c>
      <c r="Q19" s="1" t="s">
        <v>80</v>
      </c>
      <c r="R19" s="2">
        <v>46069.251818673227</v>
      </c>
      <c r="S19">
        <f t="shared" si="0"/>
        <v>0</v>
      </c>
      <c r="T19">
        <f t="shared" si="1"/>
        <v>0</v>
      </c>
      <c r="U19">
        <f t="shared" si="2"/>
        <v>1</v>
      </c>
      <c r="V19" cm="1">
        <f t="array" ref="V19">IF(OR(H19="",Q19=""),
   0,
   SUM(--ISNUMBER(MATCH(TRIM(_xlfn.TEXTSPLIT(H19,";")),TRIM(_xlfn.TEXTSPLIT(Q19,";")),0)))
)</f>
        <v>1</v>
      </c>
      <c r="W19">
        <f t="shared" si="3"/>
        <v>1</v>
      </c>
    </row>
    <row r="20" spans="1:23" ht="15.75" customHeight="1" x14ac:dyDescent="0.15">
      <c r="A20" s="1" t="s">
        <v>15</v>
      </c>
      <c r="B20" s="1">
        <v>62</v>
      </c>
      <c r="C20" s="1" t="s">
        <v>34</v>
      </c>
      <c r="D20" s="1" t="s">
        <v>81</v>
      </c>
      <c r="F20" s="1" t="s">
        <v>2</v>
      </c>
      <c r="G20" s="1">
        <v>4</v>
      </c>
      <c r="H20" s="1" t="s">
        <v>82</v>
      </c>
      <c r="I20" s="2">
        <v>46086.016133814453</v>
      </c>
      <c r="J20" s="1" t="s">
        <v>15</v>
      </c>
      <c r="K20" s="1">
        <v>62</v>
      </c>
      <c r="L20" s="1" t="s">
        <v>414</v>
      </c>
      <c r="M20" s="1" t="s">
        <v>415</v>
      </c>
      <c r="O20" s="1" t="s">
        <v>2</v>
      </c>
      <c r="P20" s="1">
        <v>2</v>
      </c>
      <c r="Q20" s="1" t="s">
        <v>350</v>
      </c>
      <c r="R20" s="2">
        <v>46069.255789527058</v>
      </c>
      <c r="S20">
        <f t="shared" si="0"/>
        <v>0</v>
      </c>
      <c r="T20">
        <f t="shared" si="1"/>
        <v>2</v>
      </c>
      <c r="U20">
        <f t="shared" si="2"/>
        <v>4</v>
      </c>
      <c r="V20" cm="1">
        <f t="array" ref="V20">IF(OR(H20="",Q20=""),
   0,
   SUM(--ISNUMBER(MATCH(TRIM(_xlfn.TEXTSPLIT(H20,";")),TRIM(_xlfn.TEXTSPLIT(Q20,";")),0)))
)</f>
        <v>2</v>
      </c>
      <c r="W20">
        <f t="shared" si="3"/>
        <v>2</v>
      </c>
    </row>
    <row r="21" spans="1:23" ht="15.75" customHeight="1" x14ac:dyDescent="0.15">
      <c r="A21" s="1" t="s">
        <v>15</v>
      </c>
      <c r="B21" s="1">
        <v>85</v>
      </c>
      <c r="C21" s="1" t="s">
        <v>36</v>
      </c>
      <c r="D21" s="1" t="s">
        <v>85</v>
      </c>
      <c r="F21" s="1" t="s">
        <v>2</v>
      </c>
      <c r="G21" s="1">
        <v>2</v>
      </c>
      <c r="H21" s="1" t="s">
        <v>86</v>
      </c>
      <c r="I21" s="2">
        <v>46086.023373993696</v>
      </c>
      <c r="J21" s="1" t="s">
        <v>15</v>
      </c>
      <c r="K21" s="1">
        <v>85</v>
      </c>
      <c r="L21" s="1" t="s">
        <v>416</v>
      </c>
      <c r="M21" s="1" t="s">
        <v>417</v>
      </c>
      <c r="O21" s="1" t="s">
        <v>2</v>
      </c>
      <c r="P21" s="1">
        <v>3</v>
      </c>
      <c r="Q21" s="1" t="s">
        <v>351</v>
      </c>
      <c r="R21" s="2">
        <v>46069.258312742983</v>
      </c>
      <c r="S21">
        <f t="shared" si="0"/>
        <v>0</v>
      </c>
      <c r="T21">
        <f t="shared" si="1"/>
        <v>1</v>
      </c>
      <c r="U21">
        <f t="shared" si="2"/>
        <v>3</v>
      </c>
      <c r="V21" cm="1">
        <f t="array" ref="V21">IF(OR(H21="",Q21=""),
   0,
   SUM(--ISNUMBER(MATCH(TRIM(_xlfn.TEXTSPLIT(H21,";")),TRIM(_xlfn.TEXTSPLIT(Q21,";")),0)))
)</f>
        <v>2</v>
      </c>
      <c r="W21">
        <f t="shared" si="3"/>
        <v>1.5</v>
      </c>
    </row>
    <row r="22" spans="1:23" ht="15.75" customHeight="1" x14ac:dyDescent="0.15">
      <c r="A22" s="1" t="s">
        <v>15</v>
      </c>
      <c r="B22" s="1">
        <v>91</v>
      </c>
      <c r="C22" s="1" t="s">
        <v>38</v>
      </c>
      <c r="D22" s="1" t="s">
        <v>87</v>
      </c>
      <c r="F22" s="1" t="s">
        <v>2</v>
      </c>
      <c r="G22" s="1">
        <v>1</v>
      </c>
      <c r="H22" s="1" t="s">
        <v>88</v>
      </c>
      <c r="I22" s="2">
        <v>46086.025713756448</v>
      </c>
      <c r="J22" s="1" t="s">
        <v>15</v>
      </c>
      <c r="K22" s="1">
        <v>91</v>
      </c>
      <c r="L22" s="1" t="s">
        <v>418</v>
      </c>
      <c r="M22" s="1" t="s">
        <v>419</v>
      </c>
      <c r="O22" s="1" t="s">
        <v>2</v>
      </c>
      <c r="P22" s="1">
        <v>1</v>
      </c>
      <c r="Q22" s="1" t="s">
        <v>88</v>
      </c>
      <c r="R22" s="2">
        <v>46069.261068184816</v>
      </c>
      <c r="S22">
        <f t="shared" si="0"/>
        <v>0</v>
      </c>
      <c r="T22">
        <f t="shared" si="1"/>
        <v>0</v>
      </c>
      <c r="U22">
        <f t="shared" si="2"/>
        <v>1</v>
      </c>
      <c r="V22" cm="1">
        <f t="array" ref="V22">IF(OR(H22="",Q22=""),
   0,
   SUM(--ISNUMBER(MATCH(TRIM(_xlfn.TEXTSPLIT(H22,";")),TRIM(_xlfn.TEXTSPLIT(Q22,";")),0)))
)</f>
        <v>1</v>
      </c>
      <c r="W22">
        <f t="shared" si="3"/>
        <v>1</v>
      </c>
    </row>
    <row r="23" spans="1:23" ht="15.75" customHeight="1" x14ac:dyDescent="0.15">
      <c r="A23" s="1" t="s">
        <v>15</v>
      </c>
      <c r="B23" s="1">
        <v>99</v>
      </c>
      <c r="C23" s="1" t="s">
        <v>39</v>
      </c>
      <c r="D23" s="1" t="s">
        <v>89</v>
      </c>
      <c r="F23" s="1" t="s">
        <v>2</v>
      </c>
      <c r="G23" s="1">
        <v>4</v>
      </c>
      <c r="H23" s="1" t="s">
        <v>90</v>
      </c>
      <c r="I23" s="2">
        <v>46086.029281873452</v>
      </c>
      <c r="J23" s="1" t="s">
        <v>15</v>
      </c>
      <c r="K23" s="1">
        <v>99</v>
      </c>
      <c r="L23" s="1" t="s">
        <v>420</v>
      </c>
      <c r="M23" s="1" t="s">
        <v>421</v>
      </c>
      <c r="O23" s="1" t="s">
        <v>2</v>
      </c>
      <c r="P23" s="1">
        <v>3</v>
      </c>
      <c r="Q23" s="1" t="s">
        <v>352</v>
      </c>
      <c r="R23" s="2">
        <v>46069.263829198113</v>
      </c>
      <c r="S23">
        <f t="shared" si="0"/>
        <v>0</v>
      </c>
      <c r="T23">
        <f t="shared" si="1"/>
        <v>1</v>
      </c>
      <c r="U23">
        <f t="shared" si="2"/>
        <v>4</v>
      </c>
      <c r="V23" cm="1">
        <f t="array" ref="V23">IF(OR(H23="",Q23=""),
   0,
   SUM(--ISNUMBER(MATCH(TRIM(_xlfn.TEXTSPLIT(H23,";")),TRIM(_xlfn.TEXTSPLIT(Q23,";")),0)))
)</f>
        <v>3</v>
      </c>
      <c r="W23">
        <f t="shared" si="3"/>
        <v>1.3333333333333333</v>
      </c>
    </row>
    <row r="24" spans="1:23" ht="15.75" customHeight="1" x14ac:dyDescent="0.15">
      <c r="A24" s="1" t="s">
        <v>15</v>
      </c>
      <c r="B24" s="1">
        <v>100</v>
      </c>
      <c r="C24" s="1" t="s">
        <v>16</v>
      </c>
      <c r="D24" s="1" t="s">
        <v>61</v>
      </c>
      <c r="F24" s="1" t="s">
        <v>2</v>
      </c>
      <c r="G24" s="1">
        <v>5</v>
      </c>
      <c r="H24" s="1" t="s">
        <v>62</v>
      </c>
      <c r="I24" s="2">
        <v>46085.946955953681</v>
      </c>
      <c r="J24" s="1" t="s">
        <v>15</v>
      </c>
      <c r="K24" s="1">
        <v>100</v>
      </c>
      <c r="L24" s="1" t="s">
        <v>422</v>
      </c>
      <c r="M24" s="1" t="s">
        <v>423</v>
      </c>
      <c r="O24" s="1" t="s">
        <v>2</v>
      </c>
      <c r="P24" s="1">
        <v>5</v>
      </c>
      <c r="Q24" s="1" t="s">
        <v>62</v>
      </c>
      <c r="R24" s="2">
        <v>46069.266741704523</v>
      </c>
      <c r="S24">
        <f t="shared" si="0"/>
        <v>0</v>
      </c>
      <c r="T24">
        <f t="shared" si="1"/>
        <v>0</v>
      </c>
      <c r="U24">
        <f t="shared" si="2"/>
        <v>5</v>
      </c>
      <c r="V24" cm="1">
        <f t="array" ref="V24">IF(OR(H24="",Q24=""),
   0,
   SUM(--ISNUMBER(MATCH(TRIM(_xlfn.TEXTSPLIT(H24,";")),TRIM(_xlfn.TEXTSPLIT(Q24,";")),0)))
)</f>
        <v>5</v>
      </c>
      <c r="W24">
        <f t="shared" si="3"/>
        <v>1</v>
      </c>
    </row>
    <row r="25" spans="1:23" ht="15.75" customHeight="1" x14ac:dyDescent="0.15">
      <c r="A25" s="1" t="s">
        <v>15</v>
      </c>
      <c r="B25" s="1">
        <v>111</v>
      </c>
      <c r="C25" s="1" t="s">
        <v>17</v>
      </c>
      <c r="D25" s="1" t="s">
        <v>63</v>
      </c>
      <c r="F25" s="1" t="s">
        <v>2</v>
      </c>
      <c r="G25" s="1">
        <v>3</v>
      </c>
      <c r="H25" s="1" t="s">
        <v>64</v>
      </c>
      <c r="I25" s="2">
        <v>46085.952039840151</v>
      </c>
      <c r="J25" s="1" t="s">
        <v>15</v>
      </c>
      <c r="K25" s="1">
        <v>111</v>
      </c>
      <c r="L25" s="1" t="s">
        <v>424</v>
      </c>
      <c r="M25" s="1" t="s">
        <v>425</v>
      </c>
      <c r="O25" s="1" t="s">
        <v>2</v>
      </c>
      <c r="P25" s="1">
        <v>2</v>
      </c>
      <c r="Q25" s="1" t="s">
        <v>353</v>
      </c>
      <c r="R25" s="2">
        <v>46069.271558573069</v>
      </c>
      <c r="S25">
        <f t="shared" si="0"/>
        <v>0</v>
      </c>
      <c r="T25">
        <f t="shared" si="1"/>
        <v>1</v>
      </c>
      <c r="U25">
        <f t="shared" si="2"/>
        <v>4</v>
      </c>
      <c r="V25" cm="1">
        <f t="array" ref="V25">IF(OR(H25="",Q25=""),
   0,
   SUM(--ISNUMBER(MATCH(TRIM(_xlfn.TEXTSPLIT(H25,";")),TRIM(_xlfn.TEXTSPLIT(Q25,";")),0)))
)</f>
        <v>1</v>
      </c>
      <c r="W25">
        <f t="shared" si="3"/>
        <v>4</v>
      </c>
    </row>
    <row r="26" spans="1:23" ht="15.75" customHeight="1" x14ac:dyDescent="0.15">
      <c r="A26" s="1" t="s">
        <v>15</v>
      </c>
      <c r="B26" s="1">
        <v>124</v>
      </c>
      <c r="C26" s="1" t="s">
        <v>18</v>
      </c>
      <c r="D26" s="1" t="s">
        <v>65</v>
      </c>
      <c r="F26" s="1" t="s">
        <v>2</v>
      </c>
      <c r="G26" s="1">
        <v>3</v>
      </c>
      <c r="H26" s="1" t="s">
        <v>66</v>
      </c>
      <c r="I26" s="2">
        <v>46085.959282017859</v>
      </c>
      <c r="J26" s="1" t="s">
        <v>15</v>
      </c>
      <c r="K26" s="1">
        <v>124</v>
      </c>
      <c r="L26" s="1" t="s">
        <v>426</v>
      </c>
      <c r="M26" s="1" t="s">
        <v>427</v>
      </c>
      <c r="O26" s="1" t="s">
        <v>2</v>
      </c>
      <c r="P26" s="1">
        <v>1</v>
      </c>
      <c r="Q26" s="1" t="s">
        <v>354</v>
      </c>
      <c r="R26" s="2">
        <v>46069.276104008852</v>
      </c>
      <c r="S26">
        <f t="shared" si="0"/>
        <v>0</v>
      </c>
      <c r="T26">
        <f t="shared" si="1"/>
        <v>2</v>
      </c>
      <c r="U26">
        <f t="shared" si="2"/>
        <v>3</v>
      </c>
      <c r="V26" cm="1">
        <f t="array" ref="V26">IF(OR(H26="",Q26=""),
   0,
   SUM(--ISNUMBER(MATCH(TRIM(_xlfn.TEXTSPLIT(H26,";")),TRIM(_xlfn.TEXTSPLIT(Q26,";")),0)))
)</f>
        <v>1</v>
      </c>
      <c r="W26">
        <f t="shared" si="3"/>
        <v>3</v>
      </c>
    </row>
    <row r="27" spans="1:23" ht="15.75" customHeight="1" x14ac:dyDescent="0.15">
      <c r="A27" s="1" t="s">
        <v>15</v>
      </c>
      <c r="B27" s="1">
        <v>129</v>
      </c>
      <c r="C27" s="1" t="s">
        <v>19</v>
      </c>
      <c r="D27" s="1" t="s">
        <v>67</v>
      </c>
      <c r="F27" s="1" t="s">
        <v>2</v>
      </c>
      <c r="G27" s="1">
        <v>1</v>
      </c>
      <c r="H27" s="1" t="s">
        <v>20</v>
      </c>
      <c r="I27" s="2">
        <v>46085.96716913391</v>
      </c>
      <c r="J27" s="1" t="s">
        <v>15</v>
      </c>
      <c r="K27" s="1">
        <v>129</v>
      </c>
      <c r="L27" s="1" t="s">
        <v>428</v>
      </c>
      <c r="M27" s="1" t="s">
        <v>429</v>
      </c>
      <c r="O27" s="1" t="s">
        <v>2</v>
      </c>
      <c r="P27" s="1">
        <v>1</v>
      </c>
      <c r="Q27" s="1" t="s">
        <v>20</v>
      </c>
      <c r="R27" s="2">
        <v>46069.28003646998</v>
      </c>
      <c r="S27">
        <f t="shared" si="0"/>
        <v>0</v>
      </c>
      <c r="T27">
        <f t="shared" si="1"/>
        <v>0</v>
      </c>
      <c r="U27">
        <f t="shared" si="2"/>
        <v>1</v>
      </c>
      <c r="V27" cm="1">
        <f t="array" ref="V27">IF(OR(H27="",Q27=""),
   0,
   SUM(--ISNUMBER(MATCH(TRIM(_xlfn.TEXTSPLIT(H27,";")),TRIM(_xlfn.TEXTSPLIT(Q27,";")),0)))
)</f>
        <v>1</v>
      </c>
      <c r="W27">
        <f t="shared" si="3"/>
        <v>1</v>
      </c>
    </row>
    <row r="28" spans="1:23" ht="15.75" customHeight="1" x14ac:dyDescent="0.15">
      <c r="A28" s="1" t="s">
        <v>15</v>
      </c>
      <c r="B28" s="1">
        <v>131</v>
      </c>
      <c r="C28" s="1" t="s">
        <v>22</v>
      </c>
      <c r="D28" s="1" t="s">
        <v>70</v>
      </c>
      <c r="F28" s="1" t="s">
        <v>2</v>
      </c>
      <c r="G28" s="1">
        <v>2</v>
      </c>
      <c r="H28" s="1" t="s">
        <v>23</v>
      </c>
      <c r="I28" s="2">
        <v>46085.975947455627</v>
      </c>
      <c r="J28" s="1" t="s">
        <v>15</v>
      </c>
      <c r="K28" s="1">
        <v>131</v>
      </c>
      <c r="L28" s="1" t="s">
        <v>430</v>
      </c>
      <c r="M28" s="1" t="s">
        <v>431</v>
      </c>
      <c r="O28" s="1" t="s">
        <v>2</v>
      </c>
      <c r="P28" s="1">
        <v>2</v>
      </c>
      <c r="Q28" s="1" t="s">
        <v>23</v>
      </c>
      <c r="R28" s="2">
        <v>46069.283466096931</v>
      </c>
      <c r="S28">
        <f t="shared" si="0"/>
        <v>0</v>
      </c>
      <c r="T28">
        <f t="shared" si="1"/>
        <v>0</v>
      </c>
      <c r="U28">
        <f t="shared" si="2"/>
        <v>2</v>
      </c>
      <c r="V28" cm="1">
        <f t="array" ref="V28">IF(OR(H28="",Q28=""),
   0,
   SUM(--ISNUMBER(MATCH(TRIM(_xlfn.TEXTSPLIT(H28,";")),TRIM(_xlfn.TEXTSPLIT(Q28,";")),0)))
)</f>
        <v>2</v>
      </c>
      <c r="W28">
        <f t="shared" si="3"/>
        <v>1</v>
      </c>
    </row>
    <row r="29" spans="1:23" ht="15.75" customHeight="1" x14ac:dyDescent="0.15">
      <c r="A29" s="1" t="s">
        <v>15</v>
      </c>
      <c r="B29" s="1">
        <v>164</v>
      </c>
      <c r="C29" s="1" t="s">
        <v>24</v>
      </c>
      <c r="D29" s="1" t="s">
        <v>71</v>
      </c>
      <c r="F29" s="1" t="s">
        <v>2</v>
      </c>
      <c r="G29" s="1">
        <v>5</v>
      </c>
      <c r="H29" s="1" t="s">
        <v>72</v>
      </c>
      <c r="I29" s="2">
        <v>46085.979547491239</v>
      </c>
      <c r="J29" s="1" t="s">
        <v>15</v>
      </c>
      <c r="K29" s="1">
        <v>164</v>
      </c>
      <c r="L29" s="1" t="s">
        <v>432</v>
      </c>
      <c r="M29" s="1" t="s">
        <v>433</v>
      </c>
      <c r="O29" s="1" t="s">
        <v>2</v>
      </c>
      <c r="P29" s="1">
        <v>3</v>
      </c>
      <c r="Q29" s="1" t="s">
        <v>355</v>
      </c>
      <c r="R29" s="2">
        <v>46069.288386802778</v>
      </c>
      <c r="S29">
        <f t="shared" si="0"/>
        <v>0</v>
      </c>
      <c r="T29">
        <f t="shared" si="1"/>
        <v>2</v>
      </c>
      <c r="U29">
        <f t="shared" si="2"/>
        <v>8</v>
      </c>
      <c r="V29" cm="1">
        <f t="array" ref="V29">IF(OR(H29="",Q29=""),
   0,
   SUM(--ISNUMBER(MATCH(TRIM(_xlfn.TEXTSPLIT(H29,";")),TRIM(_xlfn.TEXTSPLIT(Q29,";")),0)))
)</f>
        <v>0</v>
      </c>
      <c r="W29">
        <f t="shared" si="3"/>
        <v>8</v>
      </c>
    </row>
    <row r="30" spans="1:23" ht="15.75" customHeight="1" x14ac:dyDescent="0.15">
      <c r="A30" s="1" t="s">
        <v>40</v>
      </c>
      <c r="B30" s="1">
        <v>6</v>
      </c>
      <c r="C30" s="1" t="s">
        <v>44</v>
      </c>
      <c r="D30" s="1" t="s">
        <v>94</v>
      </c>
      <c r="F30" s="1" t="s">
        <v>2</v>
      </c>
      <c r="G30" s="1">
        <v>0</v>
      </c>
      <c r="I30" s="2">
        <v>46086.034041764193</v>
      </c>
      <c r="J30" s="1" t="s">
        <v>40</v>
      </c>
      <c r="K30" s="1">
        <v>6</v>
      </c>
      <c r="L30" s="1" t="s">
        <v>434</v>
      </c>
      <c r="M30" s="1" t="s">
        <v>435</v>
      </c>
      <c r="O30" s="1" t="s">
        <v>2</v>
      </c>
      <c r="P30" s="1">
        <v>0</v>
      </c>
      <c r="R30" s="2">
        <v>46069.289552871305</v>
      </c>
      <c r="S30">
        <f t="shared" si="0"/>
        <v>0</v>
      </c>
      <c r="T30">
        <f t="shared" si="1"/>
        <v>0</v>
      </c>
      <c r="U30">
        <f t="shared" si="2"/>
        <v>0</v>
      </c>
      <c r="V30" cm="1">
        <f t="array" ref="V30">IF(OR(H30="",Q30=""),
   0,
   SUM(--ISNUMBER(MATCH(TRIM(_xlfn.TEXTSPLIT(H30,";")),TRIM(_xlfn.TEXTSPLIT(Q30,";")),0)))
)</f>
        <v>0</v>
      </c>
      <c r="W30">
        <f t="shared" si="3"/>
        <v>0</v>
      </c>
    </row>
    <row r="31" spans="1:23" ht="15.75" customHeight="1" x14ac:dyDescent="0.15">
      <c r="A31" s="1" t="s">
        <v>40</v>
      </c>
      <c r="B31" s="1">
        <v>10</v>
      </c>
      <c r="C31" s="1" t="s">
        <v>41</v>
      </c>
      <c r="D31" s="1" t="s">
        <v>91</v>
      </c>
      <c r="F31" s="1" t="s">
        <v>2</v>
      </c>
      <c r="G31" s="1">
        <v>1</v>
      </c>
      <c r="H31" s="1" t="s">
        <v>92</v>
      </c>
      <c r="I31" s="2">
        <v>46086.030366154446</v>
      </c>
      <c r="J31" s="1" t="s">
        <v>40</v>
      </c>
      <c r="K31" s="1">
        <v>10</v>
      </c>
      <c r="L31" s="1" t="s">
        <v>436</v>
      </c>
      <c r="M31" s="1" t="s">
        <v>437</v>
      </c>
      <c r="O31" s="1" t="s">
        <v>2</v>
      </c>
      <c r="P31" s="1">
        <v>0</v>
      </c>
      <c r="R31" s="2">
        <v>46069.291526126304</v>
      </c>
      <c r="S31">
        <f t="shared" si="0"/>
        <v>0</v>
      </c>
      <c r="T31">
        <f t="shared" si="1"/>
        <v>1</v>
      </c>
      <c r="U31">
        <f t="shared" si="2"/>
        <v>1</v>
      </c>
      <c r="V31" cm="1">
        <f t="array" ref="V31">IF(OR(H31="",Q31=""),
   0,
   SUM(--ISNUMBER(MATCH(TRIM(_xlfn.TEXTSPLIT(H31,";")),TRIM(_xlfn.TEXTSPLIT(Q31,";")),0)))
)</f>
        <v>0</v>
      </c>
      <c r="W31">
        <f t="shared" si="3"/>
        <v>1</v>
      </c>
    </row>
    <row r="32" spans="1:23" ht="13" x14ac:dyDescent="0.15">
      <c r="A32" s="1" t="s">
        <v>40</v>
      </c>
      <c r="B32" s="1">
        <v>12</v>
      </c>
      <c r="C32" s="1" t="s">
        <v>42</v>
      </c>
      <c r="D32" s="1" t="s">
        <v>93</v>
      </c>
      <c r="F32" s="1" t="s">
        <v>37</v>
      </c>
      <c r="G32" s="1">
        <v>0</v>
      </c>
      <c r="I32" s="2">
        <v>46086.032882952604</v>
      </c>
      <c r="J32" s="1" t="s">
        <v>40</v>
      </c>
      <c r="K32" s="1">
        <v>12</v>
      </c>
      <c r="L32" s="1" t="s">
        <v>438</v>
      </c>
      <c r="M32" s="1" t="s">
        <v>439</v>
      </c>
      <c r="O32" s="1" t="s">
        <v>2</v>
      </c>
      <c r="P32" s="1">
        <v>12</v>
      </c>
      <c r="Q32" s="1" t="s">
        <v>43</v>
      </c>
      <c r="R32" s="2">
        <v>46069.29376739006</v>
      </c>
      <c r="S32">
        <f t="shared" si="0"/>
        <v>1</v>
      </c>
      <c r="T32">
        <f t="shared" si="1"/>
        <v>12</v>
      </c>
      <c r="U32">
        <f t="shared" si="2"/>
        <v>12</v>
      </c>
      <c r="V32" cm="1">
        <f t="array" ref="V32">IF(OR(H32="",Q32=""),
   0,
   SUM(--ISNUMBER(MATCH(TRIM(_xlfn.TEXTSPLIT(H32,";")),TRIM(_xlfn.TEXTSPLIT(Q32,";")),0)))
)</f>
        <v>0</v>
      </c>
      <c r="W32">
        <f t="shared" si="3"/>
        <v>12</v>
      </c>
    </row>
    <row r="33" spans="1:23" ht="13" x14ac:dyDescent="0.15">
      <c r="A33" s="1" t="s">
        <v>45</v>
      </c>
      <c r="B33" s="1">
        <v>11</v>
      </c>
      <c r="C33" s="1" t="s">
        <v>46</v>
      </c>
      <c r="D33" s="1" t="s">
        <v>95</v>
      </c>
      <c r="F33" s="1" t="s">
        <v>2</v>
      </c>
      <c r="G33" s="1">
        <v>0</v>
      </c>
      <c r="I33" s="2">
        <v>46086.035478310165</v>
      </c>
      <c r="J33" s="1" t="s">
        <v>45</v>
      </c>
      <c r="K33" s="1">
        <v>11</v>
      </c>
      <c r="L33" s="1" t="s">
        <v>440</v>
      </c>
      <c r="M33" s="1" t="s">
        <v>441</v>
      </c>
      <c r="O33" s="1" t="s">
        <v>2</v>
      </c>
      <c r="P33" s="1">
        <v>0</v>
      </c>
      <c r="R33" s="2">
        <v>46069.294710615002</v>
      </c>
      <c r="S33">
        <f t="shared" si="0"/>
        <v>0</v>
      </c>
      <c r="T33">
        <f t="shared" si="1"/>
        <v>0</v>
      </c>
      <c r="U33">
        <f t="shared" si="2"/>
        <v>0</v>
      </c>
      <c r="V33" cm="1">
        <f t="array" ref="V33">IF(OR(H33="",Q33=""),
   0,
   SUM(--ISNUMBER(MATCH(TRIM(_xlfn.TEXTSPLIT(H33,";")),TRIM(_xlfn.TEXTSPLIT(Q33,";")),0)))
)</f>
        <v>0</v>
      </c>
      <c r="W33">
        <f t="shared" si="3"/>
        <v>0</v>
      </c>
    </row>
    <row r="34" spans="1:23" ht="13" x14ac:dyDescent="0.15">
      <c r="A34" s="1" t="s">
        <v>45</v>
      </c>
      <c r="B34" s="1">
        <v>14</v>
      </c>
      <c r="C34" s="1" t="s">
        <v>96</v>
      </c>
      <c r="D34" s="1" t="s">
        <v>97</v>
      </c>
      <c r="F34" s="1" t="s">
        <v>2</v>
      </c>
      <c r="G34" s="1">
        <v>1</v>
      </c>
      <c r="H34" s="1" t="s">
        <v>98</v>
      </c>
      <c r="I34" s="2">
        <v>46086.036936248922</v>
      </c>
      <c r="J34" s="1" t="s">
        <v>45</v>
      </c>
      <c r="K34" s="1">
        <v>14</v>
      </c>
      <c r="L34" s="1" t="s">
        <v>442</v>
      </c>
      <c r="M34" s="1" t="s">
        <v>443</v>
      </c>
      <c r="O34" s="1" t="s">
        <v>2</v>
      </c>
      <c r="P34" s="1">
        <v>1</v>
      </c>
      <c r="Q34" s="1" t="s">
        <v>98</v>
      </c>
      <c r="R34" s="2">
        <v>46069.296853582986</v>
      </c>
      <c r="S34">
        <f t="shared" si="0"/>
        <v>0</v>
      </c>
      <c r="T34">
        <f t="shared" si="1"/>
        <v>0</v>
      </c>
      <c r="U34">
        <f t="shared" si="2"/>
        <v>1</v>
      </c>
      <c r="V34" cm="1">
        <f t="array" ref="V34">IF(OR(H34="",Q34=""),
   0,
   SUM(--ISNUMBER(MATCH(TRIM(_xlfn.TEXTSPLIT(H34,";")),TRIM(_xlfn.TEXTSPLIT(Q34,";")),0)))
)</f>
        <v>1</v>
      </c>
      <c r="W34">
        <f t="shared" si="3"/>
        <v>1</v>
      </c>
    </row>
    <row r="35" spans="1:23" ht="13" x14ac:dyDescent="0.15">
      <c r="A35" s="1" t="s">
        <v>45</v>
      </c>
      <c r="B35" s="1">
        <v>17</v>
      </c>
      <c r="C35" s="1" t="s">
        <v>99</v>
      </c>
      <c r="D35" s="1" t="s">
        <v>100</v>
      </c>
      <c r="F35" s="1" t="s">
        <v>2</v>
      </c>
      <c r="G35" s="1">
        <v>2</v>
      </c>
      <c r="H35" s="1" t="s">
        <v>101</v>
      </c>
      <c r="I35" s="2">
        <v>46086.038917849772</v>
      </c>
      <c r="J35" s="1" t="s">
        <v>45</v>
      </c>
      <c r="K35" s="1">
        <v>17</v>
      </c>
      <c r="L35" s="1" t="s">
        <v>444</v>
      </c>
      <c r="M35" s="1" t="s">
        <v>445</v>
      </c>
      <c r="O35" s="1" t="s">
        <v>37</v>
      </c>
      <c r="P35" s="1">
        <v>0</v>
      </c>
      <c r="R35" s="2">
        <v>46069.298099779364</v>
      </c>
      <c r="S35">
        <f t="shared" si="0"/>
        <v>1</v>
      </c>
      <c r="T35">
        <f t="shared" si="1"/>
        <v>2</v>
      </c>
      <c r="U35">
        <f t="shared" si="2"/>
        <v>2</v>
      </c>
      <c r="V35" cm="1">
        <f t="array" ref="V35">IF(OR(H35="",Q35=""),
   0,
   SUM(--ISNUMBER(MATCH(TRIM(_xlfn.TEXTSPLIT(H35,";")),TRIM(_xlfn.TEXTSPLIT(Q35,";")),0)))
)</f>
        <v>0</v>
      </c>
      <c r="W35">
        <f t="shared" si="3"/>
        <v>2</v>
      </c>
    </row>
    <row r="36" spans="1:23" ht="13" x14ac:dyDescent="0.15">
      <c r="A36" s="1" t="s">
        <v>45</v>
      </c>
      <c r="B36" s="1">
        <v>23</v>
      </c>
      <c r="C36" s="1" t="s">
        <v>102</v>
      </c>
      <c r="D36" s="1" t="s">
        <v>103</v>
      </c>
      <c r="F36" s="1" t="s">
        <v>2</v>
      </c>
      <c r="G36" s="1">
        <v>0</v>
      </c>
      <c r="I36" s="2">
        <v>46086.040553016261</v>
      </c>
      <c r="J36" s="1" t="s">
        <v>45</v>
      </c>
      <c r="K36" s="1">
        <v>23</v>
      </c>
      <c r="L36" s="1" t="s">
        <v>446</v>
      </c>
      <c r="M36" s="1" t="s">
        <v>447</v>
      </c>
      <c r="O36" s="1" t="s">
        <v>2</v>
      </c>
      <c r="P36" s="1">
        <v>0</v>
      </c>
      <c r="R36" s="2">
        <v>46069.29971356818</v>
      </c>
      <c r="S36">
        <f t="shared" si="0"/>
        <v>0</v>
      </c>
      <c r="T36">
        <f t="shared" si="1"/>
        <v>0</v>
      </c>
      <c r="U36">
        <f t="shared" si="2"/>
        <v>0</v>
      </c>
      <c r="V36" cm="1">
        <f t="array" ref="V36">IF(OR(H36="",Q36=""),
   0,
   SUM(--ISNUMBER(MATCH(TRIM(_xlfn.TEXTSPLIT(H36,";")),TRIM(_xlfn.TEXTSPLIT(Q36,";")),0)))
)</f>
        <v>0</v>
      </c>
      <c r="W36">
        <f t="shared" si="3"/>
        <v>0</v>
      </c>
    </row>
    <row r="37" spans="1:23" ht="13" x14ac:dyDescent="0.15">
      <c r="A37" s="1" t="s">
        <v>45</v>
      </c>
      <c r="B37" s="1">
        <v>24</v>
      </c>
      <c r="C37" s="1" t="s">
        <v>104</v>
      </c>
      <c r="D37" s="1" t="s">
        <v>105</v>
      </c>
      <c r="F37" s="1" t="s">
        <v>37</v>
      </c>
      <c r="G37" s="1">
        <v>0</v>
      </c>
      <c r="I37" s="2">
        <v>46086.04179340486</v>
      </c>
      <c r="J37" s="1" t="s">
        <v>45</v>
      </c>
      <c r="K37" s="1">
        <v>24</v>
      </c>
      <c r="L37" s="1" t="s">
        <v>448</v>
      </c>
      <c r="M37" s="1" t="s">
        <v>449</v>
      </c>
      <c r="O37" s="1" t="s">
        <v>2</v>
      </c>
      <c r="P37" s="1">
        <v>2</v>
      </c>
      <c r="Q37" s="1" t="s">
        <v>356</v>
      </c>
      <c r="R37" s="2">
        <v>46069.301451151136</v>
      </c>
      <c r="S37">
        <f t="shared" si="0"/>
        <v>1</v>
      </c>
      <c r="T37">
        <f t="shared" si="1"/>
        <v>2</v>
      </c>
      <c r="U37">
        <f t="shared" si="2"/>
        <v>2</v>
      </c>
      <c r="V37" cm="1">
        <f t="array" ref="V37">IF(OR(H37="",Q37=""),
   0,
   SUM(--ISNUMBER(MATCH(TRIM(_xlfn.TEXTSPLIT(H37,";")),TRIM(_xlfn.TEXTSPLIT(Q37,";")),0)))
)</f>
        <v>0</v>
      </c>
      <c r="W37">
        <f t="shared" si="3"/>
        <v>2</v>
      </c>
    </row>
    <row r="38" spans="1:23" ht="13" x14ac:dyDescent="0.15">
      <c r="A38" s="1" t="s">
        <v>45</v>
      </c>
      <c r="B38" s="1">
        <v>26</v>
      </c>
      <c r="C38" s="1" t="s">
        <v>106</v>
      </c>
      <c r="D38" s="1" t="s">
        <v>107</v>
      </c>
      <c r="F38" s="1" t="s">
        <v>2</v>
      </c>
      <c r="G38" s="1">
        <v>1</v>
      </c>
      <c r="H38" s="1" t="s">
        <v>108</v>
      </c>
      <c r="I38" s="2">
        <v>46086.043849246736</v>
      </c>
      <c r="J38" s="1" t="s">
        <v>45</v>
      </c>
      <c r="K38" s="1">
        <v>26</v>
      </c>
      <c r="L38" s="1" t="s">
        <v>450</v>
      </c>
      <c r="M38" s="1" t="s">
        <v>451</v>
      </c>
      <c r="O38" s="1" t="s">
        <v>37</v>
      </c>
      <c r="P38" s="1">
        <v>0</v>
      </c>
      <c r="R38" s="2">
        <v>46069.303041014398</v>
      </c>
      <c r="S38">
        <f t="shared" si="0"/>
        <v>1</v>
      </c>
      <c r="T38">
        <f t="shared" si="1"/>
        <v>1</v>
      </c>
      <c r="U38">
        <f t="shared" si="2"/>
        <v>1</v>
      </c>
      <c r="V38" cm="1">
        <f t="array" ref="V38">IF(OR(H38="",Q38=""),
   0,
   SUM(--ISNUMBER(MATCH(TRIM(_xlfn.TEXTSPLIT(H38,";")),TRIM(_xlfn.TEXTSPLIT(Q38,";")),0)))
)</f>
        <v>0</v>
      </c>
      <c r="W38">
        <f t="shared" si="3"/>
        <v>1</v>
      </c>
    </row>
    <row r="39" spans="1:23" ht="13" x14ac:dyDescent="0.15">
      <c r="A39" s="1" t="s">
        <v>109</v>
      </c>
      <c r="B39" s="1">
        <v>2</v>
      </c>
      <c r="C39" s="1" t="s">
        <v>110</v>
      </c>
      <c r="D39" s="1" t="s">
        <v>111</v>
      </c>
      <c r="F39" s="1" t="s">
        <v>37</v>
      </c>
      <c r="G39" s="1">
        <v>0</v>
      </c>
      <c r="I39" s="2">
        <v>46086.046096940983</v>
      </c>
      <c r="J39" s="1" t="s">
        <v>109</v>
      </c>
      <c r="K39" s="1">
        <v>2</v>
      </c>
      <c r="L39" s="1" t="s">
        <v>452</v>
      </c>
      <c r="M39" s="1" t="s">
        <v>453</v>
      </c>
      <c r="O39" s="1" t="s">
        <v>2</v>
      </c>
      <c r="P39" s="1">
        <v>0</v>
      </c>
      <c r="R39" s="2">
        <v>46069.30562477067</v>
      </c>
      <c r="S39">
        <f t="shared" si="0"/>
        <v>1</v>
      </c>
      <c r="T39">
        <f t="shared" si="1"/>
        <v>0</v>
      </c>
      <c r="U39">
        <f t="shared" si="2"/>
        <v>0</v>
      </c>
      <c r="V39" cm="1">
        <f t="array" ref="V39">IF(OR(H39="",Q39=""),
   0,
   SUM(--ISNUMBER(MATCH(TRIM(_xlfn.TEXTSPLIT(H39,";")),TRIM(_xlfn.TEXTSPLIT(Q39,";")),0)))
)</f>
        <v>0</v>
      </c>
      <c r="W39">
        <f t="shared" si="3"/>
        <v>0</v>
      </c>
    </row>
    <row r="40" spans="1:23" ht="13" x14ac:dyDescent="0.15">
      <c r="A40" s="1" t="s">
        <v>109</v>
      </c>
      <c r="B40" s="1">
        <v>26</v>
      </c>
      <c r="C40" s="1" t="s">
        <v>112</v>
      </c>
      <c r="D40" s="1" t="s">
        <v>113</v>
      </c>
      <c r="F40" s="1" t="s">
        <v>2</v>
      </c>
      <c r="G40" s="1">
        <v>0</v>
      </c>
      <c r="I40" s="2">
        <v>46086.047404686004</v>
      </c>
      <c r="J40" s="1" t="s">
        <v>109</v>
      </c>
      <c r="K40" s="1">
        <v>26</v>
      </c>
      <c r="L40" s="1" t="s">
        <v>454</v>
      </c>
      <c r="M40" s="1" t="s">
        <v>455</v>
      </c>
      <c r="O40" s="1" t="s">
        <v>2</v>
      </c>
      <c r="P40" s="1">
        <v>0</v>
      </c>
      <c r="R40" s="2">
        <v>46069.307524450523</v>
      </c>
      <c r="S40">
        <f t="shared" si="0"/>
        <v>0</v>
      </c>
      <c r="T40">
        <f t="shared" si="1"/>
        <v>0</v>
      </c>
      <c r="U40">
        <f t="shared" si="2"/>
        <v>0</v>
      </c>
      <c r="V40" cm="1">
        <f t="array" ref="V40">IF(OR(H40="",Q40=""),
   0,
   SUM(--ISNUMBER(MATCH(TRIM(_xlfn.TEXTSPLIT(H40,";")),TRIM(_xlfn.TEXTSPLIT(Q40,";")),0)))
)</f>
        <v>0</v>
      </c>
      <c r="W40">
        <f t="shared" si="3"/>
        <v>0</v>
      </c>
    </row>
    <row r="41" spans="1:23" ht="13" x14ac:dyDescent="0.15">
      <c r="A41" s="1" t="s">
        <v>109</v>
      </c>
      <c r="B41" s="1">
        <v>40</v>
      </c>
      <c r="C41" s="1" t="s">
        <v>114</v>
      </c>
      <c r="D41" s="1" t="s">
        <v>115</v>
      </c>
      <c r="F41" s="1" t="s">
        <v>2</v>
      </c>
      <c r="G41" s="1">
        <v>2</v>
      </c>
      <c r="H41" s="1" t="s">
        <v>116</v>
      </c>
      <c r="I41" s="2">
        <v>46086.048720467763</v>
      </c>
      <c r="J41" s="1" t="s">
        <v>109</v>
      </c>
      <c r="K41" s="1">
        <v>40</v>
      </c>
      <c r="L41" s="1" t="s">
        <v>456</v>
      </c>
      <c r="M41" s="1" t="s">
        <v>457</v>
      </c>
      <c r="O41" s="1" t="s">
        <v>2</v>
      </c>
      <c r="P41" s="1">
        <v>2</v>
      </c>
      <c r="Q41" s="1" t="s">
        <v>116</v>
      </c>
      <c r="R41" s="2">
        <v>46069.30901227962</v>
      </c>
      <c r="S41">
        <f t="shared" si="0"/>
        <v>0</v>
      </c>
      <c r="T41">
        <f t="shared" si="1"/>
        <v>0</v>
      </c>
      <c r="U41">
        <f t="shared" si="2"/>
        <v>2</v>
      </c>
      <c r="V41" cm="1">
        <f t="array" ref="V41">IF(OR(H41="",Q41=""),
   0,
   SUM(--ISNUMBER(MATCH(TRIM(_xlfn.TEXTSPLIT(H41,";")),TRIM(_xlfn.TEXTSPLIT(Q41,";")),0)))
)</f>
        <v>2</v>
      </c>
      <c r="W41">
        <f t="shared" si="3"/>
        <v>1</v>
      </c>
    </row>
    <row r="42" spans="1:23" ht="13" x14ac:dyDescent="0.15">
      <c r="A42" s="1" t="s">
        <v>109</v>
      </c>
      <c r="B42" s="1">
        <v>44</v>
      </c>
      <c r="C42" s="1" t="s">
        <v>117</v>
      </c>
      <c r="D42" s="1" t="s">
        <v>118</v>
      </c>
      <c r="F42" s="1" t="s">
        <v>2</v>
      </c>
      <c r="G42" s="1">
        <v>4</v>
      </c>
      <c r="H42" s="1" t="s">
        <v>119</v>
      </c>
      <c r="I42" s="2">
        <v>46086.04993352609</v>
      </c>
      <c r="J42" s="1" t="s">
        <v>109</v>
      </c>
      <c r="K42" s="1">
        <v>44</v>
      </c>
      <c r="L42" s="1" t="s">
        <v>458</v>
      </c>
      <c r="M42" s="1" t="s">
        <v>459</v>
      </c>
      <c r="O42" s="1" t="s">
        <v>2</v>
      </c>
      <c r="P42" s="1">
        <v>4</v>
      </c>
      <c r="Q42" s="1" t="s">
        <v>119</v>
      </c>
      <c r="R42" s="2">
        <v>46069.310285826796</v>
      </c>
      <c r="S42">
        <f t="shared" si="0"/>
        <v>0</v>
      </c>
      <c r="T42">
        <f t="shared" si="1"/>
        <v>0</v>
      </c>
      <c r="U42">
        <f t="shared" si="2"/>
        <v>4</v>
      </c>
      <c r="V42" cm="1">
        <f t="array" ref="V42">IF(OR(H42="",Q42=""),
   0,
   SUM(--ISNUMBER(MATCH(TRIM(_xlfn.TEXTSPLIT(H42,";")),TRIM(_xlfn.TEXTSPLIT(Q42,";")),0)))
)</f>
        <v>4</v>
      </c>
      <c r="W42">
        <f t="shared" si="3"/>
        <v>1</v>
      </c>
    </row>
    <row r="43" spans="1:23" ht="13" x14ac:dyDescent="0.15">
      <c r="A43" s="1" t="s">
        <v>120</v>
      </c>
      <c r="B43" s="1">
        <v>1</v>
      </c>
      <c r="C43" s="1" t="s">
        <v>121</v>
      </c>
      <c r="D43" s="1" t="s">
        <v>122</v>
      </c>
      <c r="F43" s="1" t="s">
        <v>2</v>
      </c>
      <c r="G43" s="1">
        <v>0</v>
      </c>
      <c r="I43" s="2">
        <v>46086.053581760381</v>
      </c>
      <c r="J43" s="1" t="s">
        <v>120</v>
      </c>
      <c r="K43" s="1">
        <v>1</v>
      </c>
      <c r="L43" s="1" t="s">
        <v>460</v>
      </c>
      <c r="M43" s="1" t="s">
        <v>461</v>
      </c>
      <c r="O43" s="1" t="s">
        <v>2</v>
      </c>
      <c r="P43" s="1">
        <v>1</v>
      </c>
      <c r="Q43" s="1" t="s">
        <v>357</v>
      </c>
      <c r="R43" s="2">
        <v>46069.312197809297</v>
      </c>
      <c r="S43">
        <f t="shared" si="0"/>
        <v>0</v>
      </c>
      <c r="T43">
        <f t="shared" si="1"/>
        <v>1</v>
      </c>
      <c r="U43">
        <f t="shared" si="2"/>
        <v>1</v>
      </c>
      <c r="V43" cm="1">
        <f t="array" ref="V43">IF(OR(H43="",Q43=""),
   0,
   SUM(--ISNUMBER(MATCH(TRIM(_xlfn.TEXTSPLIT(H43,";")),TRIM(_xlfn.TEXTSPLIT(Q43,";")),0)))
)</f>
        <v>0</v>
      </c>
      <c r="W43">
        <f t="shared" si="3"/>
        <v>1</v>
      </c>
    </row>
    <row r="44" spans="1:23" ht="13" x14ac:dyDescent="0.15">
      <c r="A44" s="1" t="s">
        <v>120</v>
      </c>
      <c r="B44" s="1">
        <v>2</v>
      </c>
      <c r="C44" s="1" t="s">
        <v>123</v>
      </c>
      <c r="D44" s="1" t="s">
        <v>124</v>
      </c>
      <c r="F44" s="1" t="s">
        <v>2</v>
      </c>
      <c r="G44" s="1">
        <v>1</v>
      </c>
      <c r="H44" s="1" t="s">
        <v>125</v>
      </c>
      <c r="I44" s="2">
        <v>46086.054611292166</v>
      </c>
      <c r="J44" s="1" t="s">
        <v>120</v>
      </c>
      <c r="K44" s="1">
        <v>2</v>
      </c>
      <c r="L44" s="1" t="s">
        <v>462</v>
      </c>
      <c r="M44" s="1" t="s">
        <v>463</v>
      </c>
      <c r="O44" s="1" t="s">
        <v>2</v>
      </c>
      <c r="P44" s="1">
        <v>0</v>
      </c>
      <c r="R44" s="2">
        <v>46069.313511380962</v>
      </c>
      <c r="S44">
        <f t="shared" si="0"/>
        <v>0</v>
      </c>
      <c r="T44">
        <f t="shared" si="1"/>
        <v>1</v>
      </c>
      <c r="U44">
        <f t="shared" si="2"/>
        <v>1</v>
      </c>
      <c r="V44" cm="1">
        <f t="array" ref="V44">IF(OR(H44="",Q44=""),
   0,
   SUM(--ISNUMBER(MATCH(TRIM(_xlfn.TEXTSPLIT(H44,";")),TRIM(_xlfn.TEXTSPLIT(Q44,";")),0)))
)</f>
        <v>0</v>
      </c>
      <c r="W44">
        <f t="shared" si="3"/>
        <v>1</v>
      </c>
    </row>
    <row r="45" spans="1:23" ht="13" x14ac:dyDescent="0.15">
      <c r="A45" s="1" t="s">
        <v>120</v>
      </c>
      <c r="B45" s="1">
        <v>3</v>
      </c>
      <c r="C45" s="1" t="s">
        <v>126</v>
      </c>
      <c r="D45" s="1" t="s">
        <v>127</v>
      </c>
      <c r="F45" s="1" t="s">
        <v>2</v>
      </c>
      <c r="G45" s="1">
        <v>4</v>
      </c>
      <c r="H45" s="1" t="s">
        <v>128</v>
      </c>
      <c r="I45" s="2">
        <v>46086.056516155339</v>
      </c>
      <c r="J45" s="1" t="s">
        <v>120</v>
      </c>
      <c r="K45" s="1">
        <v>3</v>
      </c>
      <c r="L45" s="1" t="s">
        <v>464</v>
      </c>
      <c r="M45" s="1" t="s">
        <v>465</v>
      </c>
      <c r="O45" s="1" t="s">
        <v>2</v>
      </c>
      <c r="P45" s="1">
        <v>6</v>
      </c>
      <c r="Q45" s="1" t="s">
        <v>358</v>
      </c>
      <c r="R45" s="2">
        <v>46069.314986792837</v>
      </c>
      <c r="S45">
        <f t="shared" si="0"/>
        <v>0</v>
      </c>
      <c r="T45">
        <f t="shared" si="1"/>
        <v>2</v>
      </c>
      <c r="U45">
        <f t="shared" si="2"/>
        <v>7</v>
      </c>
      <c r="V45" cm="1">
        <f t="array" ref="V45">IF(OR(H45="",Q45=""),
   0,
   SUM(--ISNUMBER(MATCH(TRIM(_xlfn.TEXTSPLIT(H45,";")),TRIM(_xlfn.TEXTSPLIT(Q45,";")),0)))
)</f>
        <v>3</v>
      </c>
      <c r="W45">
        <f t="shared" si="3"/>
        <v>2.3333333333333335</v>
      </c>
    </row>
    <row r="46" spans="1:23" ht="13" x14ac:dyDescent="0.15">
      <c r="A46" s="1" t="s">
        <v>120</v>
      </c>
      <c r="B46" s="1">
        <v>6</v>
      </c>
      <c r="C46" s="1" t="s">
        <v>129</v>
      </c>
      <c r="D46" s="1" t="s">
        <v>130</v>
      </c>
      <c r="F46" s="1" t="s">
        <v>2</v>
      </c>
      <c r="G46" s="1">
        <v>0</v>
      </c>
      <c r="I46" s="2">
        <v>46086.058030036387</v>
      </c>
      <c r="J46" s="1" t="s">
        <v>120</v>
      </c>
      <c r="K46" s="1">
        <v>6</v>
      </c>
      <c r="L46" s="1" t="s">
        <v>466</v>
      </c>
      <c r="M46" s="1" t="s">
        <v>467</v>
      </c>
      <c r="O46" s="1" t="s">
        <v>2</v>
      </c>
      <c r="P46" s="1">
        <v>0</v>
      </c>
      <c r="R46" s="2">
        <v>46069.316138924951</v>
      </c>
      <c r="S46">
        <f t="shared" si="0"/>
        <v>0</v>
      </c>
      <c r="T46">
        <f t="shared" si="1"/>
        <v>0</v>
      </c>
      <c r="U46">
        <f t="shared" si="2"/>
        <v>0</v>
      </c>
      <c r="V46" cm="1">
        <f t="array" ref="V46">IF(OR(H46="",Q46=""),
   0,
   SUM(--ISNUMBER(MATCH(TRIM(_xlfn.TEXTSPLIT(H46,";")),TRIM(_xlfn.TEXTSPLIT(Q46,";")),0)))
)</f>
        <v>0</v>
      </c>
      <c r="W46">
        <f t="shared" si="3"/>
        <v>0</v>
      </c>
    </row>
    <row r="47" spans="1:23" ht="13" x14ac:dyDescent="0.15">
      <c r="A47" s="1" t="s">
        <v>120</v>
      </c>
      <c r="B47" s="1">
        <v>9</v>
      </c>
      <c r="C47" s="1" t="s">
        <v>131</v>
      </c>
      <c r="D47" s="1" t="s">
        <v>132</v>
      </c>
      <c r="F47" s="1" t="s">
        <v>2</v>
      </c>
      <c r="G47" s="1">
        <v>0</v>
      </c>
      <c r="I47" s="2">
        <v>46086.059200909447</v>
      </c>
      <c r="J47" s="1" t="s">
        <v>120</v>
      </c>
      <c r="K47" s="1">
        <v>9</v>
      </c>
      <c r="L47" s="1" t="s">
        <v>468</v>
      </c>
      <c r="M47" s="1" t="s">
        <v>469</v>
      </c>
      <c r="O47" s="1" t="s">
        <v>2</v>
      </c>
      <c r="P47" s="1">
        <v>1</v>
      </c>
      <c r="Q47" s="1" t="s">
        <v>359</v>
      </c>
      <c r="R47" s="2">
        <v>46069.31726914685</v>
      </c>
      <c r="S47">
        <f t="shared" si="0"/>
        <v>0</v>
      </c>
      <c r="T47">
        <f t="shared" si="1"/>
        <v>1</v>
      </c>
      <c r="U47">
        <f t="shared" si="2"/>
        <v>1</v>
      </c>
      <c r="V47" cm="1">
        <f t="array" ref="V47">IF(OR(H47="",Q47=""),
   0,
   SUM(--ISNUMBER(MATCH(TRIM(_xlfn.TEXTSPLIT(H47,";")),TRIM(_xlfn.TEXTSPLIT(Q47,";")),0)))
)</f>
        <v>0</v>
      </c>
      <c r="W47">
        <f t="shared" si="3"/>
        <v>1</v>
      </c>
    </row>
    <row r="48" spans="1:23" ht="13" x14ac:dyDescent="0.15">
      <c r="A48" s="1" t="s">
        <v>133</v>
      </c>
      <c r="B48" s="1">
        <v>5</v>
      </c>
      <c r="C48" s="1" t="s">
        <v>138</v>
      </c>
      <c r="D48" s="1" t="s">
        <v>139</v>
      </c>
      <c r="F48" s="1" t="s">
        <v>2</v>
      </c>
      <c r="G48" s="1">
        <v>0</v>
      </c>
      <c r="I48" s="2">
        <v>46086.063478384131</v>
      </c>
      <c r="J48" s="1" t="s">
        <v>133</v>
      </c>
      <c r="K48" s="1">
        <v>5</v>
      </c>
      <c r="L48" s="1" t="s">
        <v>470</v>
      </c>
      <c r="M48" s="1" t="s">
        <v>471</v>
      </c>
      <c r="O48" s="1" t="s">
        <v>37</v>
      </c>
      <c r="P48" s="1">
        <v>0</v>
      </c>
      <c r="R48" s="2">
        <v>46069.31814579435</v>
      </c>
      <c r="S48">
        <f t="shared" si="0"/>
        <v>1</v>
      </c>
      <c r="T48">
        <f t="shared" si="1"/>
        <v>0</v>
      </c>
      <c r="U48">
        <f t="shared" si="2"/>
        <v>0</v>
      </c>
      <c r="V48" cm="1">
        <f t="array" ref="V48">IF(OR(H48="",Q48=""),
   0,
   SUM(--ISNUMBER(MATCH(TRIM(_xlfn.TEXTSPLIT(H48,";")),TRIM(_xlfn.TEXTSPLIT(Q48,";")),0)))
)</f>
        <v>0</v>
      </c>
      <c r="W48">
        <f t="shared" si="3"/>
        <v>0</v>
      </c>
    </row>
    <row r="49" spans="1:23" ht="13" x14ac:dyDescent="0.15">
      <c r="A49" s="1" t="s">
        <v>133</v>
      </c>
      <c r="B49" s="1">
        <v>6</v>
      </c>
      <c r="C49" s="1" t="s">
        <v>140</v>
      </c>
      <c r="D49" s="1" t="s">
        <v>141</v>
      </c>
      <c r="F49" s="1" t="s">
        <v>2</v>
      </c>
      <c r="G49" s="1">
        <v>0</v>
      </c>
      <c r="I49" s="2">
        <v>46086.064880159065</v>
      </c>
      <c r="J49" s="1" t="s">
        <v>133</v>
      </c>
      <c r="K49" s="1">
        <v>6</v>
      </c>
      <c r="L49" s="1" t="s">
        <v>472</v>
      </c>
      <c r="M49" s="1" t="s">
        <v>473</v>
      </c>
      <c r="O49" s="1" t="s">
        <v>37</v>
      </c>
      <c r="P49" s="1">
        <v>0</v>
      </c>
      <c r="R49" s="2">
        <v>46069.319261875047</v>
      </c>
      <c r="S49">
        <f t="shared" si="0"/>
        <v>1</v>
      </c>
      <c r="T49">
        <f t="shared" si="1"/>
        <v>0</v>
      </c>
      <c r="U49">
        <f t="shared" si="2"/>
        <v>0</v>
      </c>
      <c r="V49" cm="1">
        <f t="array" ref="V49">IF(OR(H49="",Q49=""),
   0,
   SUM(--ISNUMBER(MATCH(TRIM(_xlfn.TEXTSPLIT(H49,";")),TRIM(_xlfn.TEXTSPLIT(Q49,";")),0)))
)</f>
        <v>0</v>
      </c>
      <c r="W49">
        <f t="shared" si="3"/>
        <v>0</v>
      </c>
    </row>
    <row r="50" spans="1:23" ht="13" x14ac:dyDescent="0.15">
      <c r="A50" s="1" t="s">
        <v>133</v>
      </c>
      <c r="B50" s="1">
        <v>7</v>
      </c>
      <c r="C50" s="1" t="s">
        <v>142</v>
      </c>
      <c r="D50" s="1" t="s">
        <v>143</v>
      </c>
      <c r="F50" s="1" t="s">
        <v>2</v>
      </c>
      <c r="G50" s="1">
        <v>0</v>
      </c>
      <c r="I50" s="2">
        <v>46086.067053227045</v>
      </c>
      <c r="J50" s="1" t="s">
        <v>133</v>
      </c>
      <c r="K50" s="1">
        <v>7</v>
      </c>
      <c r="L50" s="1" t="s">
        <v>474</v>
      </c>
      <c r="M50" s="1" t="s">
        <v>475</v>
      </c>
      <c r="O50" s="1" t="s">
        <v>2</v>
      </c>
      <c r="P50" s="1">
        <v>2</v>
      </c>
      <c r="Q50" s="1" t="s">
        <v>360</v>
      </c>
      <c r="R50" s="2">
        <v>46069.320504050287</v>
      </c>
      <c r="S50">
        <f t="shared" si="0"/>
        <v>0</v>
      </c>
      <c r="T50">
        <f t="shared" si="1"/>
        <v>2</v>
      </c>
      <c r="U50">
        <f t="shared" si="2"/>
        <v>2</v>
      </c>
      <c r="V50" cm="1">
        <f t="array" ref="V50">IF(OR(H50="",Q50=""),
   0,
   SUM(--ISNUMBER(MATCH(TRIM(_xlfn.TEXTSPLIT(H50,";")),TRIM(_xlfn.TEXTSPLIT(Q50,";")),0)))
)</f>
        <v>0</v>
      </c>
      <c r="W50">
        <f t="shared" si="3"/>
        <v>2</v>
      </c>
    </row>
    <row r="51" spans="1:23" ht="13" x14ac:dyDescent="0.15">
      <c r="A51" s="1" t="s">
        <v>133</v>
      </c>
      <c r="B51" s="1">
        <v>13</v>
      </c>
      <c r="C51" s="1" t="s">
        <v>134</v>
      </c>
      <c r="D51" s="1" t="s">
        <v>135</v>
      </c>
      <c r="F51" s="1" t="s">
        <v>2</v>
      </c>
      <c r="G51" s="1">
        <v>0</v>
      </c>
      <c r="I51" s="2">
        <v>46086.060528207301</v>
      </c>
      <c r="J51" s="1" t="s">
        <v>133</v>
      </c>
      <c r="K51" s="1">
        <v>13</v>
      </c>
      <c r="L51" s="1" t="s">
        <v>476</v>
      </c>
      <c r="M51" s="1" t="s">
        <v>477</v>
      </c>
      <c r="O51" s="1" t="s">
        <v>2</v>
      </c>
      <c r="P51" s="1">
        <v>0</v>
      </c>
      <c r="R51" s="2">
        <v>46069.322056086123</v>
      </c>
      <c r="S51">
        <f t="shared" si="0"/>
        <v>0</v>
      </c>
      <c r="T51">
        <f t="shared" si="1"/>
        <v>0</v>
      </c>
      <c r="U51">
        <f t="shared" si="2"/>
        <v>0</v>
      </c>
      <c r="V51" cm="1">
        <f t="array" ref="V51">IF(OR(H51="",Q51=""),
   0,
   SUM(--ISNUMBER(MATCH(TRIM(_xlfn.TEXTSPLIT(H51,";")),TRIM(_xlfn.TEXTSPLIT(Q51,";")),0)))
)</f>
        <v>0</v>
      </c>
      <c r="W51">
        <f t="shared" si="3"/>
        <v>0</v>
      </c>
    </row>
    <row r="52" spans="1:23" ht="13" x14ac:dyDescent="0.15">
      <c r="A52" s="1" t="s">
        <v>133</v>
      </c>
      <c r="B52" s="1">
        <v>16</v>
      </c>
      <c r="C52" s="1" t="s">
        <v>136</v>
      </c>
      <c r="D52" s="1" t="s">
        <v>137</v>
      </c>
      <c r="F52" s="1" t="s">
        <v>37</v>
      </c>
      <c r="G52" s="1">
        <v>0</v>
      </c>
      <c r="I52" s="2">
        <v>46086.062439929839</v>
      </c>
      <c r="J52" s="1" t="s">
        <v>133</v>
      </c>
      <c r="K52" s="1">
        <v>16</v>
      </c>
      <c r="L52" s="1" t="s">
        <v>478</v>
      </c>
      <c r="M52" s="1" t="s">
        <v>479</v>
      </c>
      <c r="O52" s="1" t="s">
        <v>2</v>
      </c>
      <c r="P52" s="1">
        <v>1</v>
      </c>
      <c r="Q52" s="1" t="s">
        <v>361</v>
      </c>
      <c r="R52" s="2">
        <v>46069.323485795496</v>
      </c>
      <c r="S52">
        <f t="shared" si="0"/>
        <v>1</v>
      </c>
      <c r="T52">
        <f t="shared" si="1"/>
        <v>1</v>
      </c>
      <c r="U52">
        <f t="shared" si="2"/>
        <v>1</v>
      </c>
      <c r="V52" cm="1">
        <f t="array" ref="V52">IF(OR(H52="",Q52=""),
   0,
   SUM(--ISNUMBER(MATCH(TRIM(_xlfn.TEXTSPLIT(H52,";")),TRIM(_xlfn.TEXTSPLIT(Q52,";")),0)))
)</f>
        <v>0</v>
      </c>
      <c r="W52">
        <f t="shared" si="3"/>
        <v>1</v>
      </c>
    </row>
    <row r="53" spans="1:23" ht="13" x14ac:dyDescent="0.15">
      <c r="A53" s="1" t="s">
        <v>144</v>
      </c>
      <c r="B53" s="1">
        <v>3</v>
      </c>
      <c r="C53" s="1" t="s">
        <v>157</v>
      </c>
      <c r="D53" s="1" t="s">
        <v>158</v>
      </c>
      <c r="F53" s="1" t="s">
        <v>2</v>
      </c>
      <c r="G53" s="1">
        <v>0</v>
      </c>
      <c r="I53" s="2">
        <v>46086.083058046832</v>
      </c>
      <c r="J53" s="1" t="s">
        <v>144</v>
      </c>
      <c r="K53" s="1">
        <v>3</v>
      </c>
      <c r="L53" s="1" t="s">
        <v>480</v>
      </c>
      <c r="M53" s="1" t="s">
        <v>481</v>
      </c>
      <c r="O53" s="1" t="s">
        <v>2</v>
      </c>
      <c r="P53" s="1">
        <v>0</v>
      </c>
      <c r="R53" s="2">
        <v>46069.325553666597</v>
      </c>
      <c r="S53">
        <f t="shared" si="0"/>
        <v>0</v>
      </c>
      <c r="T53">
        <f t="shared" si="1"/>
        <v>0</v>
      </c>
      <c r="U53">
        <f t="shared" si="2"/>
        <v>0</v>
      </c>
      <c r="V53" cm="1">
        <f t="array" ref="V53">IF(OR(H53="",Q53=""),
   0,
   SUM(--ISNUMBER(MATCH(TRIM(_xlfn.TEXTSPLIT(H53,";")),TRIM(_xlfn.TEXTSPLIT(Q53,";")),0)))
)</f>
        <v>0</v>
      </c>
      <c r="W53">
        <f t="shared" si="3"/>
        <v>0</v>
      </c>
    </row>
    <row r="54" spans="1:23" ht="13" x14ac:dyDescent="0.15">
      <c r="A54" s="1" t="s">
        <v>144</v>
      </c>
      <c r="B54" s="1">
        <v>4</v>
      </c>
      <c r="C54" s="1" t="s">
        <v>169</v>
      </c>
      <c r="D54" s="1" t="s">
        <v>170</v>
      </c>
      <c r="F54" s="1" t="s">
        <v>2</v>
      </c>
      <c r="G54" s="1">
        <v>1</v>
      </c>
      <c r="H54" s="1" t="s">
        <v>171</v>
      </c>
      <c r="I54" s="2">
        <v>46086.09687868919</v>
      </c>
      <c r="J54" s="1" t="s">
        <v>144</v>
      </c>
      <c r="K54" s="1">
        <v>4</v>
      </c>
      <c r="L54" s="1" t="s">
        <v>482</v>
      </c>
      <c r="M54" s="1" t="s">
        <v>483</v>
      </c>
      <c r="O54" s="1" t="s">
        <v>37</v>
      </c>
      <c r="P54" s="1">
        <v>0</v>
      </c>
      <c r="R54" s="2">
        <v>46069.326873243263</v>
      </c>
      <c r="S54">
        <f t="shared" si="0"/>
        <v>1</v>
      </c>
      <c r="T54">
        <f t="shared" si="1"/>
        <v>1</v>
      </c>
      <c r="U54">
        <f t="shared" si="2"/>
        <v>1</v>
      </c>
      <c r="V54" cm="1">
        <f t="array" ref="V54">IF(OR(H54="",Q54=""),
   0,
   SUM(--ISNUMBER(MATCH(TRIM(_xlfn.TEXTSPLIT(H54,";")),TRIM(_xlfn.TEXTSPLIT(Q54,";")),0)))
)</f>
        <v>0</v>
      </c>
      <c r="W54">
        <f t="shared" si="3"/>
        <v>1</v>
      </c>
    </row>
    <row r="55" spans="1:23" ht="13" x14ac:dyDescent="0.15">
      <c r="A55" s="1" t="s">
        <v>144</v>
      </c>
      <c r="B55" s="1">
        <v>9</v>
      </c>
      <c r="C55" s="1" t="s">
        <v>202</v>
      </c>
      <c r="D55" s="1" t="s">
        <v>203</v>
      </c>
      <c r="F55" s="1" t="s">
        <v>2</v>
      </c>
      <c r="G55" s="1">
        <v>4</v>
      </c>
      <c r="H55" s="1" t="s">
        <v>204</v>
      </c>
      <c r="I55" s="2">
        <v>46086.135152721872</v>
      </c>
      <c r="J55" s="1" t="s">
        <v>144</v>
      </c>
      <c r="K55" s="1">
        <v>9</v>
      </c>
      <c r="L55" s="1" t="s">
        <v>484</v>
      </c>
      <c r="M55" s="1" t="s">
        <v>485</v>
      </c>
      <c r="O55" s="1" t="s">
        <v>2</v>
      </c>
      <c r="P55" s="1">
        <v>3</v>
      </c>
      <c r="Q55" s="1" t="s">
        <v>362</v>
      </c>
      <c r="R55" s="2">
        <v>46069.328654252568</v>
      </c>
      <c r="S55">
        <f t="shared" si="0"/>
        <v>0</v>
      </c>
      <c r="T55">
        <f t="shared" si="1"/>
        <v>1</v>
      </c>
      <c r="U55">
        <f t="shared" si="2"/>
        <v>4</v>
      </c>
      <c r="V55" cm="1">
        <f t="array" ref="V55">IF(OR(H55="",Q55=""),
   0,
   SUM(--ISNUMBER(MATCH(TRIM(_xlfn.TEXTSPLIT(H55,";")),TRIM(_xlfn.TEXTSPLIT(Q55,";")),0)))
)</f>
        <v>3</v>
      </c>
      <c r="W55">
        <f t="shared" si="3"/>
        <v>1.3333333333333333</v>
      </c>
    </row>
    <row r="56" spans="1:23" ht="13" x14ac:dyDescent="0.15">
      <c r="A56" s="1" t="s">
        <v>144</v>
      </c>
      <c r="B56" s="1">
        <v>16</v>
      </c>
      <c r="C56" s="1" t="s">
        <v>153</v>
      </c>
      <c r="D56" s="1" t="s">
        <v>154</v>
      </c>
      <c r="F56" s="1" t="s">
        <v>2</v>
      </c>
      <c r="G56" s="1">
        <v>0</v>
      </c>
      <c r="I56" s="2">
        <v>46086.079344947895</v>
      </c>
      <c r="J56" s="1" t="s">
        <v>144</v>
      </c>
      <c r="K56" s="1">
        <v>16</v>
      </c>
      <c r="L56" s="1" t="s">
        <v>486</v>
      </c>
      <c r="M56" s="1" t="s">
        <v>487</v>
      </c>
      <c r="O56" s="1" t="s">
        <v>2</v>
      </c>
      <c r="P56" s="1">
        <v>0</v>
      </c>
      <c r="R56" s="2">
        <v>46069.330271500396</v>
      </c>
      <c r="S56">
        <f t="shared" si="0"/>
        <v>0</v>
      </c>
      <c r="T56">
        <f t="shared" si="1"/>
        <v>0</v>
      </c>
      <c r="U56">
        <f t="shared" si="2"/>
        <v>0</v>
      </c>
      <c r="V56" cm="1">
        <f t="array" ref="V56">IF(OR(H56="",Q56=""),
   0,
   SUM(--ISNUMBER(MATCH(TRIM(_xlfn.TEXTSPLIT(H56,";")),TRIM(_xlfn.TEXTSPLIT(Q56,";")),0)))
)</f>
        <v>0</v>
      </c>
      <c r="W56">
        <f t="shared" si="3"/>
        <v>0</v>
      </c>
    </row>
    <row r="57" spans="1:23" ht="13" x14ac:dyDescent="0.15">
      <c r="A57" s="1" t="s">
        <v>144</v>
      </c>
      <c r="B57" s="1">
        <v>23</v>
      </c>
      <c r="C57" s="1" t="s">
        <v>155</v>
      </c>
      <c r="D57" s="1" t="s">
        <v>156</v>
      </c>
      <c r="F57" s="1" t="s">
        <v>37</v>
      </c>
      <c r="G57" s="1">
        <v>0</v>
      </c>
      <c r="I57" s="2">
        <v>46086.080804349331</v>
      </c>
      <c r="J57" s="1" t="s">
        <v>144</v>
      </c>
      <c r="K57" s="1">
        <v>23</v>
      </c>
      <c r="L57" s="1" t="s">
        <v>488</v>
      </c>
      <c r="M57" s="1" t="s">
        <v>489</v>
      </c>
      <c r="O57" s="1" t="s">
        <v>37</v>
      </c>
      <c r="P57" s="1">
        <v>0</v>
      </c>
      <c r="R57" s="2">
        <v>46069.331605062755</v>
      </c>
      <c r="S57">
        <f t="shared" si="0"/>
        <v>0</v>
      </c>
      <c r="T57">
        <f t="shared" si="1"/>
        <v>0</v>
      </c>
      <c r="U57">
        <f t="shared" si="2"/>
        <v>0</v>
      </c>
      <c r="V57" cm="1">
        <f t="array" ref="V57">IF(OR(H57="",Q57=""),
   0,
   SUM(--ISNUMBER(MATCH(TRIM(_xlfn.TEXTSPLIT(H57,";")),TRIM(_xlfn.TEXTSPLIT(Q57,";")),0)))
)</f>
        <v>0</v>
      </c>
      <c r="W57">
        <f t="shared" si="3"/>
        <v>0</v>
      </c>
    </row>
    <row r="58" spans="1:23" ht="13" x14ac:dyDescent="0.15">
      <c r="A58" s="1" t="s">
        <v>144</v>
      </c>
      <c r="B58" s="1">
        <v>34</v>
      </c>
      <c r="C58" s="1" t="s">
        <v>159</v>
      </c>
      <c r="D58" s="1" t="s">
        <v>160</v>
      </c>
      <c r="F58" s="1" t="s">
        <v>2</v>
      </c>
      <c r="G58" s="1">
        <v>0</v>
      </c>
      <c r="I58" s="2">
        <v>46086.084979630985</v>
      </c>
      <c r="J58" s="1" t="s">
        <v>144</v>
      </c>
      <c r="K58" s="1">
        <v>34</v>
      </c>
      <c r="L58" s="1" t="s">
        <v>490</v>
      </c>
      <c r="M58" s="1" t="s">
        <v>160</v>
      </c>
      <c r="O58" s="1" t="s">
        <v>2</v>
      </c>
      <c r="P58" s="1">
        <v>0</v>
      </c>
      <c r="R58" s="2">
        <v>46069.333405977406</v>
      </c>
      <c r="S58">
        <f t="shared" si="0"/>
        <v>0</v>
      </c>
      <c r="T58">
        <f t="shared" si="1"/>
        <v>0</v>
      </c>
      <c r="U58">
        <f t="shared" si="2"/>
        <v>0</v>
      </c>
      <c r="V58" cm="1">
        <f t="array" ref="V58">IF(OR(H58="",Q58=""),
   0,
   SUM(--ISNUMBER(MATCH(TRIM(_xlfn.TEXTSPLIT(H58,";")),TRIM(_xlfn.TEXTSPLIT(Q58,";")),0)))
)</f>
        <v>0</v>
      </c>
      <c r="W58">
        <f t="shared" si="3"/>
        <v>0</v>
      </c>
    </row>
    <row r="59" spans="1:23" ht="13" x14ac:dyDescent="0.15">
      <c r="A59" s="1" t="s">
        <v>144</v>
      </c>
      <c r="B59" s="1">
        <v>35</v>
      </c>
      <c r="C59" s="1" t="s">
        <v>161</v>
      </c>
      <c r="D59" s="1" t="s">
        <v>162</v>
      </c>
      <c r="F59" s="1" t="s">
        <v>37</v>
      </c>
      <c r="G59" s="1">
        <v>0</v>
      </c>
      <c r="I59" s="2">
        <v>46086.086804072511</v>
      </c>
      <c r="J59" s="1" t="s">
        <v>144</v>
      </c>
      <c r="K59" s="1">
        <v>35</v>
      </c>
      <c r="L59" s="1" t="s">
        <v>491</v>
      </c>
      <c r="M59" s="1" t="s">
        <v>492</v>
      </c>
      <c r="O59" s="1" t="s">
        <v>2</v>
      </c>
      <c r="P59" s="1">
        <v>0</v>
      </c>
      <c r="R59" s="2">
        <v>46069.33737031999</v>
      </c>
      <c r="S59">
        <f t="shared" si="0"/>
        <v>1</v>
      </c>
      <c r="T59">
        <f t="shared" si="1"/>
        <v>0</v>
      </c>
      <c r="U59">
        <f t="shared" si="2"/>
        <v>0</v>
      </c>
      <c r="V59" cm="1">
        <f t="array" ref="V59">IF(OR(H59="",Q59=""),
   0,
   SUM(--ISNUMBER(MATCH(TRIM(_xlfn.TEXTSPLIT(H59,";")),TRIM(_xlfn.TEXTSPLIT(Q59,";")),0)))
)</f>
        <v>0</v>
      </c>
      <c r="W59">
        <f t="shared" si="3"/>
        <v>0</v>
      </c>
    </row>
    <row r="60" spans="1:23" ht="13" x14ac:dyDescent="0.15">
      <c r="A60" s="1" t="s">
        <v>144</v>
      </c>
      <c r="B60" s="1">
        <v>37</v>
      </c>
      <c r="C60" s="1" t="s">
        <v>163</v>
      </c>
      <c r="D60" s="1" t="s">
        <v>164</v>
      </c>
      <c r="F60" s="1" t="s">
        <v>2</v>
      </c>
      <c r="G60" s="1">
        <v>1</v>
      </c>
      <c r="H60" s="1" t="s">
        <v>165</v>
      </c>
      <c r="I60" s="2">
        <v>46086.089518563174</v>
      </c>
      <c r="J60" s="1" t="s">
        <v>144</v>
      </c>
      <c r="K60" s="1">
        <v>37</v>
      </c>
      <c r="L60" s="1" t="s">
        <v>493</v>
      </c>
      <c r="M60" s="1" t="s">
        <v>494</v>
      </c>
      <c r="O60" s="1" t="s">
        <v>2</v>
      </c>
      <c r="P60" s="1">
        <v>475</v>
      </c>
      <c r="Q60" s="1" t="s">
        <v>495</v>
      </c>
      <c r="R60" s="2">
        <v>46069.340566430263</v>
      </c>
      <c r="S60">
        <f t="shared" si="0"/>
        <v>0</v>
      </c>
      <c r="T60">
        <f t="shared" si="1"/>
        <v>474</v>
      </c>
      <c r="U60">
        <f t="shared" si="2"/>
        <v>399</v>
      </c>
      <c r="V60" cm="1">
        <f t="array" ref="V60">IF(OR(H60="",Q60=""),
   0,
   SUM(--ISNUMBER(MATCH(TRIM(_xlfn.TEXTSPLIT(H60,";")),TRIM(_xlfn.TEXTSPLIT(Q60,";")),0)))
)</f>
        <v>1</v>
      </c>
      <c r="W60">
        <f t="shared" si="3"/>
        <v>399</v>
      </c>
    </row>
    <row r="61" spans="1:23" ht="13" x14ac:dyDescent="0.15">
      <c r="A61" s="1" t="s">
        <v>144</v>
      </c>
      <c r="B61" s="1">
        <v>39</v>
      </c>
      <c r="C61" s="1" t="s">
        <v>166</v>
      </c>
      <c r="D61" s="1" t="s">
        <v>167</v>
      </c>
      <c r="F61" s="1" t="s">
        <v>2</v>
      </c>
      <c r="G61" s="1">
        <v>1</v>
      </c>
      <c r="H61" s="1" t="s">
        <v>168</v>
      </c>
      <c r="I61" s="2">
        <v>46086.092527733505</v>
      </c>
      <c r="J61" s="1" t="s">
        <v>144</v>
      </c>
      <c r="K61" s="1">
        <v>39</v>
      </c>
      <c r="L61" s="1" t="s">
        <v>496</v>
      </c>
      <c r="M61" s="1" t="s">
        <v>497</v>
      </c>
      <c r="O61" s="1" t="s">
        <v>2</v>
      </c>
      <c r="P61" s="1">
        <v>1</v>
      </c>
      <c r="Q61" s="1" t="s">
        <v>168</v>
      </c>
      <c r="R61" s="2">
        <v>46069.343058312908</v>
      </c>
      <c r="S61">
        <f t="shared" si="0"/>
        <v>0</v>
      </c>
      <c r="T61">
        <f t="shared" si="1"/>
        <v>0</v>
      </c>
      <c r="U61">
        <f t="shared" si="2"/>
        <v>1</v>
      </c>
      <c r="V61" cm="1">
        <f t="array" ref="V61">IF(OR(H61="",Q61=""),
   0,
   SUM(--ISNUMBER(MATCH(TRIM(_xlfn.TEXTSPLIT(H61,";")),TRIM(_xlfn.TEXTSPLIT(Q61,";")),0)))
)</f>
        <v>1</v>
      </c>
      <c r="W61">
        <f t="shared" si="3"/>
        <v>1</v>
      </c>
    </row>
    <row r="62" spans="1:23" ht="13" x14ac:dyDescent="0.15">
      <c r="A62" s="1" t="s">
        <v>144</v>
      </c>
      <c r="B62" s="1">
        <v>43</v>
      </c>
      <c r="C62" s="1" t="s">
        <v>172</v>
      </c>
      <c r="D62" s="1" t="s">
        <v>173</v>
      </c>
      <c r="F62" s="1" t="s">
        <v>2</v>
      </c>
      <c r="G62" s="1">
        <v>1</v>
      </c>
      <c r="H62" s="1" t="s">
        <v>174</v>
      </c>
      <c r="I62" s="2">
        <v>46086.098846410845</v>
      </c>
      <c r="J62" s="1" t="s">
        <v>144</v>
      </c>
      <c r="K62" s="1">
        <v>43</v>
      </c>
      <c r="L62" s="1" t="s">
        <v>498</v>
      </c>
      <c r="M62" s="1" t="s">
        <v>499</v>
      </c>
      <c r="O62" s="1" t="s">
        <v>2</v>
      </c>
      <c r="P62" s="1">
        <v>7</v>
      </c>
      <c r="Q62" s="1" t="s">
        <v>363</v>
      </c>
      <c r="R62" s="2">
        <v>46069.345993643889</v>
      </c>
      <c r="S62">
        <f t="shared" si="0"/>
        <v>0</v>
      </c>
      <c r="T62">
        <f t="shared" si="1"/>
        <v>6</v>
      </c>
      <c r="U62">
        <f t="shared" si="2"/>
        <v>7</v>
      </c>
      <c r="V62" cm="1">
        <f t="array" ref="V62">IF(OR(H62="",Q62=""),
   0,
   SUM(--ISNUMBER(MATCH(TRIM(_xlfn.TEXTSPLIT(H62,";")),TRIM(_xlfn.TEXTSPLIT(Q62,";")),0)))
)</f>
        <v>1</v>
      </c>
      <c r="W62">
        <f t="shared" si="3"/>
        <v>7</v>
      </c>
    </row>
    <row r="63" spans="1:23" ht="13" x14ac:dyDescent="0.15">
      <c r="A63" s="1" t="s">
        <v>144</v>
      </c>
      <c r="B63" s="1">
        <v>45</v>
      </c>
      <c r="C63" s="1" t="s">
        <v>175</v>
      </c>
      <c r="D63" s="1" t="s">
        <v>176</v>
      </c>
      <c r="F63" s="1" t="s">
        <v>2</v>
      </c>
      <c r="G63" s="1">
        <v>0</v>
      </c>
      <c r="I63" s="2">
        <v>46086.101664719237</v>
      </c>
      <c r="J63" s="1" t="s">
        <v>144</v>
      </c>
      <c r="K63" s="1">
        <v>45</v>
      </c>
      <c r="L63" s="1" t="s">
        <v>500</v>
      </c>
      <c r="M63" s="1" t="s">
        <v>501</v>
      </c>
      <c r="O63" s="1" t="s">
        <v>2</v>
      </c>
      <c r="P63" s="1">
        <v>1</v>
      </c>
      <c r="Q63" s="1" t="s">
        <v>364</v>
      </c>
      <c r="R63" s="2">
        <v>46069.348607997454</v>
      </c>
      <c r="S63">
        <f t="shared" si="0"/>
        <v>0</v>
      </c>
      <c r="T63">
        <f t="shared" si="1"/>
        <v>1</v>
      </c>
      <c r="U63">
        <f t="shared" si="2"/>
        <v>1</v>
      </c>
      <c r="V63" cm="1">
        <f t="array" ref="V63">IF(OR(H63="",Q63=""),
   0,
   SUM(--ISNUMBER(MATCH(TRIM(_xlfn.TEXTSPLIT(H63,";")),TRIM(_xlfn.TEXTSPLIT(Q63,";")),0)))
)</f>
        <v>0</v>
      </c>
      <c r="W63">
        <f t="shared" si="3"/>
        <v>1</v>
      </c>
    </row>
    <row r="64" spans="1:23" ht="13" x14ac:dyDescent="0.15">
      <c r="A64" s="1" t="s">
        <v>144</v>
      </c>
      <c r="B64" s="1">
        <v>46</v>
      </c>
      <c r="C64" s="1" t="s">
        <v>177</v>
      </c>
      <c r="D64" s="1" t="s">
        <v>178</v>
      </c>
      <c r="F64" s="1" t="s">
        <v>37</v>
      </c>
      <c r="G64" s="1">
        <v>0</v>
      </c>
      <c r="I64" s="2">
        <v>46086.103562119366</v>
      </c>
      <c r="J64" s="1" t="s">
        <v>144</v>
      </c>
      <c r="K64" s="1">
        <v>46</v>
      </c>
      <c r="L64" s="1" t="s">
        <v>502</v>
      </c>
      <c r="M64" s="1" t="s">
        <v>503</v>
      </c>
      <c r="O64" s="1" t="s">
        <v>2</v>
      </c>
      <c r="P64" s="1">
        <v>1</v>
      </c>
      <c r="Q64" s="1" t="s">
        <v>365</v>
      </c>
      <c r="R64" s="2">
        <v>46069.351215636751</v>
      </c>
      <c r="S64">
        <f t="shared" si="0"/>
        <v>1</v>
      </c>
      <c r="T64">
        <f t="shared" si="1"/>
        <v>1</v>
      </c>
      <c r="U64">
        <f t="shared" si="2"/>
        <v>1</v>
      </c>
      <c r="V64" cm="1">
        <f t="array" ref="V64">IF(OR(H64="",Q64=""),
   0,
   SUM(--ISNUMBER(MATCH(TRIM(_xlfn.TEXTSPLIT(H64,";")),TRIM(_xlfn.TEXTSPLIT(Q64,";")),0)))
)</f>
        <v>0</v>
      </c>
      <c r="W64">
        <f t="shared" si="3"/>
        <v>1</v>
      </c>
    </row>
    <row r="65" spans="1:23" ht="13" x14ac:dyDescent="0.15">
      <c r="A65" s="1" t="s">
        <v>144</v>
      </c>
      <c r="B65" s="1">
        <v>49</v>
      </c>
      <c r="C65" s="1" t="s">
        <v>179</v>
      </c>
      <c r="D65" s="1" t="s">
        <v>180</v>
      </c>
      <c r="F65" s="1" t="s">
        <v>2</v>
      </c>
      <c r="G65" s="1">
        <v>0</v>
      </c>
      <c r="I65" s="2">
        <v>46086.106056822835</v>
      </c>
      <c r="J65" s="1" t="s">
        <v>144</v>
      </c>
      <c r="K65" s="1">
        <v>49</v>
      </c>
      <c r="L65" s="1" t="s">
        <v>504</v>
      </c>
      <c r="M65" s="1" t="s">
        <v>505</v>
      </c>
      <c r="O65" s="1" t="s">
        <v>2</v>
      </c>
      <c r="P65" s="1">
        <v>0</v>
      </c>
      <c r="R65" s="2">
        <v>46069.353013170461</v>
      </c>
      <c r="S65">
        <f t="shared" si="0"/>
        <v>0</v>
      </c>
      <c r="T65">
        <f t="shared" si="1"/>
        <v>0</v>
      </c>
      <c r="U65">
        <f t="shared" si="2"/>
        <v>0</v>
      </c>
      <c r="V65" cm="1">
        <f t="array" ref="V65">IF(OR(H65="",Q65=""),
   0,
   SUM(--ISNUMBER(MATCH(TRIM(_xlfn.TEXTSPLIT(H65,";")),TRIM(_xlfn.TEXTSPLIT(Q65,";")),0)))
)</f>
        <v>0</v>
      </c>
      <c r="W65">
        <f t="shared" si="3"/>
        <v>0</v>
      </c>
    </row>
    <row r="66" spans="1:23" ht="13" x14ac:dyDescent="0.15">
      <c r="A66" s="1" t="s">
        <v>144</v>
      </c>
      <c r="B66" s="1">
        <v>55</v>
      </c>
      <c r="C66" s="1" t="s">
        <v>181</v>
      </c>
      <c r="D66" s="1" t="s">
        <v>182</v>
      </c>
      <c r="F66" s="1" t="s">
        <v>37</v>
      </c>
      <c r="G66" s="1">
        <v>0</v>
      </c>
      <c r="I66" s="2">
        <v>46086.108470961357</v>
      </c>
      <c r="J66" s="1" t="s">
        <v>144</v>
      </c>
      <c r="K66" s="1">
        <v>55</v>
      </c>
      <c r="L66" s="1" t="s">
        <v>506</v>
      </c>
      <c r="M66" s="1" t="s">
        <v>507</v>
      </c>
      <c r="O66" s="1" t="s">
        <v>2</v>
      </c>
      <c r="P66" s="1">
        <v>0</v>
      </c>
      <c r="R66" s="2">
        <v>46069.356179601549</v>
      </c>
      <c r="S66">
        <f t="shared" si="0"/>
        <v>1</v>
      </c>
      <c r="T66">
        <f t="shared" si="1"/>
        <v>0</v>
      </c>
      <c r="U66">
        <f t="shared" si="2"/>
        <v>0</v>
      </c>
      <c r="V66" cm="1">
        <f t="array" ref="V66">IF(OR(H66="",Q66=""),
   0,
   SUM(--ISNUMBER(MATCH(TRIM(_xlfn.TEXTSPLIT(H66,";")),TRIM(_xlfn.TEXTSPLIT(Q66,";")),0)))
)</f>
        <v>0</v>
      </c>
      <c r="W66">
        <f t="shared" si="3"/>
        <v>0</v>
      </c>
    </row>
    <row r="67" spans="1:23" ht="13" x14ac:dyDescent="0.15">
      <c r="A67" s="1" t="s">
        <v>144</v>
      </c>
      <c r="B67" s="1">
        <v>72</v>
      </c>
      <c r="C67" s="1" t="s">
        <v>183</v>
      </c>
      <c r="D67" s="1" t="s">
        <v>184</v>
      </c>
      <c r="F67" s="1" t="s">
        <v>2</v>
      </c>
      <c r="G67" s="1">
        <v>1</v>
      </c>
      <c r="H67" s="1" t="s">
        <v>185</v>
      </c>
      <c r="I67" s="2">
        <v>46086.112509750186</v>
      </c>
      <c r="J67" s="1" t="s">
        <v>144</v>
      </c>
      <c r="K67" s="1">
        <v>72</v>
      </c>
      <c r="L67" s="1" t="s">
        <v>508</v>
      </c>
      <c r="M67" s="1" t="s">
        <v>509</v>
      </c>
      <c r="O67" s="1" t="s">
        <v>2</v>
      </c>
      <c r="P67" s="1">
        <v>1</v>
      </c>
      <c r="Q67" s="1" t="s">
        <v>185</v>
      </c>
      <c r="R67" s="2">
        <v>46069.359124072405</v>
      </c>
      <c r="S67">
        <f t="shared" ref="S67:S123" si="4">IF(O67=F67, 0, 1)</f>
        <v>0</v>
      </c>
      <c r="T67">
        <f t="shared" ref="T67:T123" si="5">ABS(P67-G67)</f>
        <v>0</v>
      </c>
      <c r="U67">
        <f t="shared" ref="U67:U123" si="6">IF(AND(H67&lt;&gt;"",Q67&lt;&gt;""),
    COUNTA(_xlfn.UNIQUE(_xlfn.TOCOL(_xlfn.VSTACK(_xlfn.TEXTSPLIT(H67,";"), _xlfn.TEXTSPLIT(Q67,";")), 3))),
    IF(H67&lt;&gt;"",
        COUNTA(_xlfn.TEXTSPLIT(H67,";")),
        IF(Q67&lt;&gt;"",
            COUNTA(_xlfn.TEXTSPLIT(Q67,";")),
            0
        )
    )
)</f>
        <v>1</v>
      </c>
      <c r="V67" cm="1">
        <f t="array" ref="V67">IF(OR(H67="",Q67=""),
   0,
   SUM(--ISNUMBER(MATCH(TRIM(_xlfn.TEXTSPLIT(H67,";")),TRIM(_xlfn.TEXTSPLIT(Q67,";")),0)))
)</f>
        <v>1</v>
      </c>
      <c r="W67">
        <f t="shared" ref="W67:W123" si="7">IF(V67=0, U67, U67/V67)</f>
        <v>1</v>
      </c>
    </row>
    <row r="68" spans="1:23" ht="13" x14ac:dyDescent="0.15">
      <c r="A68" s="1" t="s">
        <v>144</v>
      </c>
      <c r="B68" s="1">
        <v>74</v>
      </c>
      <c r="C68" s="1" t="s">
        <v>186</v>
      </c>
      <c r="D68" s="1" t="s">
        <v>187</v>
      </c>
      <c r="F68" s="1" t="s">
        <v>2</v>
      </c>
      <c r="G68" s="1">
        <v>2</v>
      </c>
      <c r="H68" s="1" t="s">
        <v>188</v>
      </c>
      <c r="I68" s="2">
        <v>46086.116642159846</v>
      </c>
      <c r="J68" s="1" t="s">
        <v>144</v>
      </c>
      <c r="K68" s="1">
        <v>74</v>
      </c>
      <c r="L68" s="1" t="s">
        <v>510</v>
      </c>
      <c r="M68" s="1" t="s">
        <v>511</v>
      </c>
      <c r="O68" s="1" t="s">
        <v>37</v>
      </c>
      <c r="P68" s="1">
        <v>0</v>
      </c>
      <c r="R68" s="2">
        <v>46069.362263605763</v>
      </c>
      <c r="S68">
        <f t="shared" si="4"/>
        <v>1</v>
      </c>
      <c r="T68">
        <f t="shared" si="5"/>
        <v>2</v>
      </c>
      <c r="U68">
        <f t="shared" si="6"/>
        <v>2</v>
      </c>
      <c r="V68" cm="1">
        <f t="array" ref="V68">IF(OR(H68="",Q68=""),
   0,
   SUM(--ISNUMBER(MATCH(TRIM(_xlfn.TEXTSPLIT(H68,";")),TRIM(_xlfn.TEXTSPLIT(Q68,";")),0)))
)</f>
        <v>0</v>
      </c>
      <c r="W68">
        <f t="shared" si="7"/>
        <v>2</v>
      </c>
    </row>
    <row r="69" spans="1:23" ht="13" x14ac:dyDescent="0.15">
      <c r="A69" s="1" t="s">
        <v>144</v>
      </c>
      <c r="B69" s="1">
        <v>75</v>
      </c>
      <c r="C69" s="1" t="s">
        <v>189</v>
      </c>
      <c r="D69" s="1" t="s">
        <v>190</v>
      </c>
      <c r="F69" s="1" t="s">
        <v>2</v>
      </c>
      <c r="G69" s="1">
        <v>1</v>
      </c>
      <c r="H69" s="1" t="s">
        <v>191</v>
      </c>
      <c r="I69" s="2">
        <v>46086.119764499963</v>
      </c>
      <c r="J69" s="1" t="s">
        <v>144</v>
      </c>
      <c r="K69" s="1">
        <v>75</v>
      </c>
      <c r="L69" s="1" t="s">
        <v>512</v>
      </c>
      <c r="M69" s="1" t="s">
        <v>513</v>
      </c>
      <c r="O69" s="1" t="s">
        <v>2</v>
      </c>
      <c r="P69" s="1">
        <v>2</v>
      </c>
      <c r="Q69" s="1" t="s">
        <v>366</v>
      </c>
      <c r="R69" s="2">
        <v>46069.365163153103</v>
      </c>
      <c r="S69">
        <f t="shared" si="4"/>
        <v>0</v>
      </c>
      <c r="T69">
        <f t="shared" si="5"/>
        <v>1</v>
      </c>
      <c r="U69">
        <f t="shared" si="6"/>
        <v>2</v>
      </c>
      <c r="V69" cm="1">
        <f t="array" ref="V69">IF(OR(H69="",Q69=""),
   0,
   SUM(--ISNUMBER(MATCH(TRIM(_xlfn.TEXTSPLIT(H69,";")),TRIM(_xlfn.TEXTSPLIT(Q69,";")),0)))
)</f>
        <v>1</v>
      </c>
      <c r="W69">
        <f t="shared" si="7"/>
        <v>2</v>
      </c>
    </row>
    <row r="70" spans="1:23" ht="13" x14ac:dyDescent="0.15">
      <c r="A70" s="1" t="s">
        <v>144</v>
      </c>
      <c r="B70" s="1">
        <v>84</v>
      </c>
      <c r="C70" s="1" t="s">
        <v>192</v>
      </c>
      <c r="D70" s="1" t="s">
        <v>193</v>
      </c>
      <c r="F70" s="1" t="s">
        <v>2</v>
      </c>
      <c r="G70" s="1">
        <v>1</v>
      </c>
      <c r="H70" s="1" t="s">
        <v>194</v>
      </c>
      <c r="I70" s="2">
        <v>46086.123554984129</v>
      </c>
      <c r="J70" s="1" t="s">
        <v>144</v>
      </c>
      <c r="K70" s="1">
        <v>84</v>
      </c>
      <c r="L70" s="1" t="s">
        <v>514</v>
      </c>
      <c r="M70" s="1" t="s">
        <v>515</v>
      </c>
      <c r="O70" s="1" t="s">
        <v>2</v>
      </c>
      <c r="P70" s="1">
        <v>1</v>
      </c>
      <c r="Q70" s="1" t="s">
        <v>194</v>
      </c>
      <c r="R70" s="2">
        <v>46069.367504299735</v>
      </c>
      <c r="S70">
        <f t="shared" si="4"/>
        <v>0</v>
      </c>
      <c r="T70">
        <f t="shared" si="5"/>
        <v>0</v>
      </c>
      <c r="U70">
        <f t="shared" si="6"/>
        <v>1</v>
      </c>
      <c r="V70" cm="1">
        <f t="array" ref="V70">IF(OR(H70="",Q70=""),
   0,
   SUM(--ISNUMBER(MATCH(TRIM(_xlfn.TEXTSPLIT(H70,";")),TRIM(_xlfn.TEXTSPLIT(Q70,";")),0)))
)</f>
        <v>1</v>
      </c>
      <c r="W70">
        <f t="shared" si="7"/>
        <v>1</v>
      </c>
    </row>
    <row r="71" spans="1:23" ht="13" x14ac:dyDescent="0.15">
      <c r="A71" s="1" t="s">
        <v>144</v>
      </c>
      <c r="B71" s="1">
        <v>85</v>
      </c>
      <c r="C71" s="1" t="s">
        <v>195</v>
      </c>
      <c r="D71" s="1" t="s">
        <v>196</v>
      </c>
      <c r="F71" s="1" t="s">
        <v>2</v>
      </c>
      <c r="G71" s="1">
        <v>2</v>
      </c>
      <c r="H71" s="1" t="s">
        <v>197</v>
      </c>
      <c r="I71" s="2">
        <v>46086.127541860311</v>
      </c>
      <c r="J71" s="1" t="s">
        <v>144</v>
      </c>
      <c r="K71" s="1">
        <v>85</v>
      </c>
      <c r="L71" s="1" t="s">
        <v>516</v>
      </c>
      <c r="M71" s="1" t="s">
        <v>517</v>
      </c>
      <c r="O71" s="1" t="s">
        <v>2</v>
      </c>
      <c r="P71" s="1">
        <v>3</v>
      </c>
      <c r="Q71" s="1" t="s">
        <v>367</v>
      </c>
      <c r="R71" s="2">
        <v>46069.370590406623</v>
      </c>
      <c r="S71">
        <f t="shared" si="4"/>
        <v>0</v>
      </c>
      <c r="T71">
        <f t="shared" si="5"/>
        <v>1</v>
      </c>
      <c r="U71">
        <f t="shared" si="6"/>
        <v>3</v>
      </c>
      <c r="V71" cm="1">
        <f t="array" ref="V71">IF(OR(H71="",Q71=""),
   0,
   SUM(--ISNUMBER(MATCH(TRIM(_xlfn.TEXTSPLIT(H71,";")),TRIM(_xlfn.TEXTSPLIT(Q71,";")),0)))
)</f>
        <v>2</v>
      </c>
      <c r="W71">
        <f t="shared" si="7"/>
        <v>1.5</v>
      </c>
    </row>
    <row r="72" spans="1:23" ht="13" x14ac:dyDescent="0.15">
      <c r="A72" s="1" t="s">
        <v>144</v>
      </c>
      <c r="B72" s="1">
        <v>86</v>
      </c>
      <c r="C72" s="1" t="s">
        <v>192</v>
      </c>
      <c r="D72" s="1" t="s">
        <v>198</v>
      </c>
      <c r="F72" s="1" t="s">
        <v>2</v>
      </c>
      <c r="G72" s="1">
        <v>2</v>
      </c>
      <c r="H72" s="1" t="s">
        <v>199</v>
      </c>
      <c r="I72" s="2">
        <v>46086.129646780464</v>
      </c>
      <c r="J72" s="1" t="s">
        <v>144</v>
      </c>
      <c r="K72" s="1">
        <v>86</v>
      </c>
      <c r="L72" s="1" t="s">
        <v>514</v>
      </c>
      <c r="M72" s="1" t="s">
        <v>518</v>
      </c>
      <c r="O72" s="1" t="s">
        <v>2</v>
      </c>
      <c r="P72" s="1">
        <v>2</v>
      </c>
      <c r="Q72" s="1" t="s">
        <v>199</v>
      </c>
      <c r="R72" s="2">
        <v>46069.372727944916</v>
      </c>
      <c r="S72">
        <f t="shared" si="4"/>
        <v>0</v>
      </c>
      <c r="T72">
        <f t="shared" si="5"/>
        <v>0</v>
      </c>
      <c r="U72">
        <f t="shared" si="6"/>
        <v>2</v>
      </c>
      <c r="V72" cm="1">
        <f t="array" ref="V72">IF(OR(H72="",Q72=""),
   0,
   SUM(--ISNUMBER(MATCH(TRIM(_xlfn.TEXTSPLIT(H72,";")),TRIM(_xlfn.TEXTSPLIT(Q72,";")),0)))
)</f>
        <v>2</v>
      </c>
      <c r="W72">
        <f t="shared" si="7"/>
        <v>1</v>
      </c>
    </row>
    <row r="73" spans="1:23" ht="13" x14ac:dyDescent="0.15">
      <c r="A73" s="1" t="s">
        <v>144</v>
      </c>
      <c r="B73" s="1">
        <v>88</v>
      </c>
      <c r="C73" s="1" t="s">
        <v>200</v>
      </c>
      <c r="D73" s="1" t="s">
        <v>201</v>
      </c>
      <c r="F73" s="1" t="s">
        <v>2</v>
      </c>
      <c r="G73" s="1">
        <v>0</v>
      </c>
      <c r="I73" s="2">
        <v>46086.132508068265</v>
      </c>
      <c r="J73" s="1" t="s">
        <v>144</v>
      </c>
      <c r="K73" s="1">
        <v>88</v>
      </c>
      <c r="L73" s="1" t="s">
        <v>519</v>
      </c>
      <c r="M73" s="1" t="s">
        <v>520</v>
      </c>
      <c r="O73" s="1" t="s">
        <v>2</v>
      </c>
      <c r="P73" s="1">
        <v>0</v>
      </c>
      <c r="R73" s="2">
        <v>46069.375872928933</v>
      </c>
      <c r="S73">
        <f t="shared" si="4"/>
        <v>0</v>
      </c>
      <c r="T73">
        <f t="shared" si="5"/>
        <v>0</v>
      </c>
      <c r="U73">
        <f t="shared" si="6"/>
        <v>0</v>
      </c>
      <c r="V73" cm="1">
        <f t="array" ref="V73">IF(OR(H73="",Q73=""),
   0,
   SUM(--ISNUMBER(MATCH(TRIM(_xlfn.TEXTSPLIT(H73,";")),TRIM(_xlfn.TEXTSPLIT(Q73,";")),0)))
)</f>
        <v>0</v>
      </c>
      <c r="W73">
        <f t="shared" si="7"/>
        <v>0</v>
      </c>
    </row>
    <row r="74" spans="1:23" ht="13" x14ac:dyDescent="0.15">
      <c r="A74" s="1" t="s">
        <v>144</v>
      </c>
      <c r="B74" s="1">
        <v>93</v>
      </c>
      <c r="C74" s="1" t="s">
        <v>205</v>
      </c>
      <c r="D74" s="1" t="s">
        <v>206</v>
      </c>
      <c r="F74" s="1" t="s">
        <v>2</v>
      </c>
      <c r="G74" s="1">
        <v>1</v>
      </c>
      <c r="H74" s="1" t="s">
        <v>207</v>
      </c>
      <c r="I74" s="2">
        <v>46086.137285572688</v>
      </c>
      <c r="J74" s="1" t="s">
        <v>144</v>
      </c>
      <c r="K74" s="1">
        <v>93</v>
      </c>
      <c r="L74" s="1" t="s">
        <v>521</v>
      </c>
      <c r="M74" s="1" t="s">
        <v>522</v>
      </c>
      <c r="O74" s="1" t="s">
        <v>2</v>
      </c>
      <c r="P74" s="1">
        <v>1</v>
      </c>
      <c r="Q74" s="1" t="s">
        <v>207</v>
      </c>
      <c r="R74" s="2">
        <v>46069.378765007466</v>
      </c>
      <c r="S74">
        <f t="shared" si="4"/>
        <v>0</v>
      </c>
      <c r="T74">
        <f t="shared" si="5"/>
        <v>0</v>
      </c>
      <c r="U74">
        <f t="shared" si="6"/>
        <v>1</v>
      </c>
      <c r="V74" cm="1">
        <f t="array" ref="V74">IF(OR(H74="",Q74=""),
   0,
   SUM(--ISNUMBER(MATCH(TRIM(_xlfn.TEXTSPLIT(H74,";")),TRIM(_xlfn.TEXTSPLIT(Q74,";")),0)))
)</f>
        <v>1</v>
      </c>
      <c r="W74">
        <f t="shared" si="7"/>
        <v>1</v>
      </c>
    </row>
    <row r="75" spans="1:23" ht="13" x14ac:dyDescent="0.15">
      <c r="A75" s="1" t="s">
        <v>144</v>
      </c>
      <c r="B75" s="1">
        <v>94</v>
      </c>
      <c r="C75" s="1" t="s">
        <v>208</v>
      </c>
      <c r="D75" s="1" t="s">
        <v>209</v>
      </c>
      <c r="F75" s="1" t="s">
        <v>2</v>
      </c>
      <c r="G75" s="1">
        <v>0</v>
      </c>
      <c r="I75" s="2">
        <v>46086.140103785256</v>
      </c>
      <c r="J75" s="1" t="s">
        <v>144</v>
      </c>
      <c r="K75" s="1">
        <v>94</v>
      </c>
      <c r="L75" s="1" t="s">
        <v>523</v>
      </c>
      <c r="M75" s="1" t="s">
        <v>524</v>
      </c>
      <c r="O75" s="1" t="s">
        <v>2</v>
      </c>
      <c r="P75" s="1">
        <v>1</v>
      </c>
      <c r="Q75" s="1" t="s">
        <v>368</v>
      </c>
      <c r="R75" s="2">
        <v>46069.381524387085</v>
      </c>
      <c r="S75">
        <f t="shared" si="4"/>
        <v>0</v>
      </c>
      <c r="T75">
        <f t="shared" si="5"/>
        <v>1</v>
      </c>
      <c r="U75">
        <f t="shared" si="6"/>
        <v>1</v>
      </c>
      <c r="V75" cm="1">
        <f t="array" ref="V75">IF(OR(H75="",Q75=""),
   0,
   SUM(--ISNUMBER(MATCH(TRIM(_xlfn.TEXTSPLIT(H75,";")),TRIM(_xlfn.TEXTSPLIT(Q75,";")),0)))
)</f>
        <v>0</v>
      </c>
      <c r="W75">
        <f t="shared" si="7"/>
        <v>1</v>
      </c>
    </row>
    <row r="76" spans="1:23" ht="13" x14ac:dyDescent="0.15">
      <c r="A76" s="1" t="s">
        <v>144</v>
      </c>
      <c r="B76" s="1">
        <v>97</v>
      </c>
      <c r="C76" s="1" t="s">
        <v>210</v>
      </c>
      <c r="D76" s="1" t="s">
        <v>211</v>
      </c>
      <c r="F76" s="1" t="s">
        <v>2</v>
      </c>
      <c r="G76" s="1">
        <v>0</v>
      </c>
      <c r="I76" s="2">
        <v>46086.142946117572</v>
      </c>
      <c r="J76" s="1" t="s">
        <v>144</v>
      </c>
      <c r="K76" s="1">
        <v>97</v>
      </c>
      <c r="L76" s="1" t="s">
        <v>525</v>
      </c>
      <c r="M76" s="1" t="s">
        <v>526</v>
      </c>
      <c r="O76" s="1" t="s">
        <v>2</v>
      </c>
      <c r="P76" s="1">
        <v>0</v>
      </c>
      <c r="R76" s="2">
        <v>46069.384520713764</v>
      </c>
      <c r="S76">
        <f t="shared" si="4"/>
        <v>0</v>
      </c>
      <c r="T76">
        <f t="shared" si="5"/>
        <v>0</v>
      </c>
      <c r="U76">
        <f t="shared" si="6"/>
        <v>0</v>
      </c>
      <c r="V76" cm="1">
        <f t="array" ref="V76">IF(OR(H76="",Q76=""),
   0,
   SUM(--ISNUMBER(MATCH(TRIM(_xlfn.TEXTSPLIT(H76,";")),TRIM(_xlfn.TEXTSPLIT(Q76,";")),0)))
)</f>
        <v>0</v>
      </c>
      <c r="W76">
        <f t="shared" si="7"/>
        <v>0</v>
      </c>
    </row>
    <row r="77" spans="1:23" ht="13" x14ac:dyDescent="0.15">
      <c r="A77" s="1" t="s">
        <v>144</v>
      </c>
      <c r="B77" s="1">
        <v>99</v>
      </c>
      <c r="C77" s="1" t="s">
        <v>212</v>
      </c>
      <c r="D77" s="1" t="s">
        <v>213</v>
      </c>
      <c r="F77" s="1" t="s">
        <v>2</v>
      </c>
      <c r="G77" s="1">
        <v>1</v>
      </c>
      <c r="H77" s="1" t="s">
        <v>214</v>
      </c>
      <c r="I77" s="2">
        <v>46086.146330925221</v>
      </c>
      <c r="J77" s="1" t="s">
        <v>144</v>
      </c>
      <c r="K77" s="1">
        <v>99</v>
      </c>
      <c r="L77" s="1" t="s">
        <v>527</v>
      </c>
      <c r="M77" s="1" t="s">
        <v>528</v>
      </c>
      <c r="O77" s="1" t="s">
        <v>2</v>
      </c>
      <c r="P77" s="1">
        <v>1</v>
      </c>
      <c r="Q77" s="1" t="s">
        <v>214</v>
      </c>
      <c r="R77" s="2">
        <v>46069.386744606272</v>
      </c>
      <c r="S77">
        <f t="shared" si="4"/>
        <v>0</v>
      </c>
      <c r="T77">
        <f t="shared" si="5"/>
        <v>0</v>
      </c>
      <c r="U77">
        <f t="shared" si="6"/>
        <v>1</v>
      </c>
      <c r="V77" cm="1">
        <f t="array" ref="V77">IF(OR(H77="",Q77=""),
   0,
   SUM(--ISNUMBER(MATCH(TRIM(_xlfn.TEXTSPLIT(H77,";")),TRIM(_xlfn.TEXTSPLIT(Q77,";")),0)))
)</f>
        <v>1</v>
      </c>
      <c r="W77">
        <f t="shared" si="7"/>
        <v>1</v>
      </c>
    </row>
    <row r="78" spans="1:23" ht="13" x14ac:dyDescent="0.15">
      <c r="A78" s="1" t="s">
        <v>144</v>
      </c>
      <c r="B78" s="1">
        <v>102</v>
      </c>
      <c r="C78" s="1" t="s">
        <v>145</v>
      </c>
      <c r="D78" s="1" t="s">
        <v>146</v>
      </c>
      <c r="F78" s="1" t="s">
        <v>2</v>
      </c>
      <c r="G78" s="1">
        <v>1</v>
      </c>
      <c r="H78" s="1" t="s">
        <v>147</v>
      </c>
      <c r="I78" s="2">
        <v>46086.070997319977</v>
      </c>
      <c r="J78" s="1" t="s">
        <v>144</v>
      </c>
      <c r="K78" s="1">
        <v>102</v>
      </c>
      <c r="L78" s="1" t="s">
        <v>529</v>
      </c>
      <c r="M78" s="1" t="s">
        <v>530</v>
      </c>
      <c r="O78" s="1" t="s">
        <v>2</v>
      </c>
      <c r="P78" s="1">
        <v>4</v>
      </c>
      <c r="Q78" s="1" t="s">
        <v>369</v>
      </c>
      <c r="R78" s="2">
        <v>46069.390051271817</v>
      </c>
      <c r="S78">
        <f t="shared" si="4"/>
        <v>0</v>
      </c>
      <c r="T78">
        <f t="shared" si="5"/>
        <v>3</v>
      </c>
      <c r="U78">
        <f t="shared" si="6"/>
        <v>4</v>
      </c>
      <c r="V78" cm="1">
        <f t="array" ref="V78">IF(OR(H78="",Q78=""),
   0,
   SUM(--ISNUMBER(MATCH(TRIM(_xlfn.TEXTSPLIT(H78,";")),TRIM(_xlfn.TEXTSPLIT(Q78,";")),0)))
)</f>
        <v>1</v>
      </c>
      <c r="W78">
        <f t="shared" si="7"/>
        <v>4</v>
      </c>
    </row>
    <row r="79" spans="1:23" ht="13" x14ac:dyDescent="0.15">
      <c r="A79" s="1" t="s">
        <v>144</v>
      </c>
      <c r="B79" s="1">
        <v>105</v>
      </c>
      <c r="C79" s="1" t="s">
        <v>148</v>
      </c>
      <c r="D79" s="1" t="s">
        <v>149</v>
      </c>
      <c r="F79" s="1" t="s">
        <v>2</v>
      </c>
      <c r="G79" s="1">
        <v>0</v>
      </c>
      <c r="I79" s="2">
        <v>46086.073940570299</v>
      </c>
      <c r="J79" s="1" t="s">
        <v>144</v>
      </c>
      <c r="K79" s="1">
        <v>105</v>
      </c>
      <c r="L79" s="1" t="s">
        <v>531</v>
      </c>
      <c r="M79" s="1" t="s">
        <v>532</v>
      </c>
      <c r="O79" s="1" t="s">
        <v>2</v>
      </c>
      <c r="P79" s="1">
        <v>0</v>
      </c>
      <c r="R79" s="2">
        <v>46069.39246515472</v>
      </c>
      <c r="S79">
        <f t="shared" si="4"/>
        <v>0</v>
      </c>
      <c r="T79">
        <f t="shared" si="5"/>
        <v>0</v>
      </c>
      <c r="U79">
        <f t="shared" si="6"/>
        <v>0</v>
      </c>
      <c r="V79" cm="1">
        <f t="array" ref="V79">IF(OR(H79="",Q79=""),
   0,
   SUM(--ISNUMBER(MATCH(TRIM(_xlfn.TEXTSPLIT(H79,";")),TRIM(_xlfn.TEXTSPLIT(Q79,";")),0)))
)</f>
        <v>0</v>
      </c>
      <c r="W79">
        <f t="shared" si="7"/>
        <v>0</v>
      </c>
    </row>
    <row r="80" spans="1:23" ht="13" x14ac:dyDescent="0.15">
      <c r="A80" s="1" t="s">
        <v>144</v>
      </c>
      <c r="B80" s="1">
        <v>110</v>
      </c>
      <c r="C80" s="1" t="s">
        <v>150</v>
      </c>
      <c r="D80" s="1" t="s">
        <v>151</v>
      </c>
      <c r="F80" s="1" t="s">
        <v>2</v>
      </c>
      <c r="G80" s="1">
        <v>1</v>
      </c>
      <c r="H80" s="1" t="s">
        <v>152</v>
      </c>
      <c r="I80" s="2">
        <v>46086.077625007689</v>
      </c>
      <c r="J80" s="1" t="s">
        <v>144</v>
      </c>
      <c r="K80" s="1">
        <v>110</v>
      </c>
      <c r="L80" s="1" t="s">
        <v>533</v>
      </c>
      <c r="M80" s="1" t="s">
        <v>534</v>
      </c>
      <c r="O80" s="1" t="s">
        <v>2</v>
      </c>
      <c r="P80" s="1">
        <v>0</v>
      </c>
      <c r="R80" s="2">
        <v>46069.396076981458</v>
      </c>
      <c r="S80">
        <f t="shared" si="4"/>
        <v>0</v>
      </c>
      <c r="T80">
        <f t="shared" si="5"/>
        <v>1</v>
      </c>
      <c r="U80">
        <f t="shared" si="6"/>
        <v>1</v>
      </c>
      <c r="V80" cm="1">
        <f t="array" ref="V80">IF(OR(H80="",Q80=""),
   0,
   SUM(--ISNUMBER(MATCH(TRIM(_xlfn.TEXTSPLIT(H80,";")),TRIM(_xlfn.TEXTSPLIT(Q80,";")),0)))
)</f>
        <v>0</v>
      </c>
      <c r="W80">
        <f t="shared" si="7"/>
        <v>1</v>
      </c>
    </row>
    <row r="81" spans="1:23" ht="13" x14ac:dyDescent="0.15">
      <c r="A81" s="1" t="s">
        <v>215</v>
      </c>
      <c r="B81" s="1">
        <v>5</v>
      </c>
      <c r="C81" s="1" t="s">
        <v>216</v>
      </c>
      <c r="D81" s="1" t="s">
        <v>217</v>
      </c>
      <c r="F81" s="1" t="s">
        <v>2</v>
      </c>
      <c r="G81" s="1">
        <v>0</v>
      </c>
      <c r="I81" s="2">
        <v>46086.14823740162</v>
      </c>
      <c r="J81" s="1" t="s">
        <v>215</v>
      </c>
      <c r="K81" s="1">
        <v>5</v>
      </c>
      <c r="L81" s="1" t="s">
        <v>535</v>
      </c>
      <c r="M81" s="1" t="s">
        <v>536</v>
      </c>
      <c r="O81" s="1" t="s">
        <v>2</v>
      </c>
      <c r="P81" s="1">
        <v>0</v>
      </c>
      <c r="R81" s="2">
        <v>46069.397144802271</v>
      </c>
      <c r="S81">
        <f t="shared" si="4"/>
        <v>0</v>
      </c>
      <c r="T81">
        <f t="shared" si="5"/>
        <v>0</v>
      </c>
      <c r="U81">
        <f t="shared" si="6"/>
        <v>0</v>
      </c>
      <c r="V81" cm="1">
        <f t="array" ref="V81">IF(OR(H81="",Q81=""),
   0,
   SUM(--ISNUMBER(MATCH(TRIM(_xlfn.TEXTSPLIT(H81,";")),TRIM(_xlfn.TEXTSPLIT(Q81,";")),0)))
)</f>
        <v>0</v>
      </c>
      <c r="W81">
        <f t="shared" si="7"/>
        <v>0</v>
      </c>
    </row>
    <row r="82" spans="1:23" ht="13" x14ac:dyDescent="0.15">
      <c r="A82" s="1" t="s">
        <v>218</v>
      </c>
      <c r="B82" s="1">
        <v>1</v>
      </c>
      <c r="C82" s="1" t="s">
        <v>219</v>
      </c>
      <c r="D82" s="1" t="s">
        <v>220</v>
      </c>
      <c r="F82" s="1" t="s">
        <v>2</v>
      </c>
      <c r="G82" s="1">
        <v>0</v>
      </c>
      <c r="I82" s="2">
        <v>46086.150727268265</v>
      </c>
      <c r="J82" s="1" t="s">
        <v>218</v>
      </c>
      <c r="K82" s="1">
        <v>1</v>
      </c>
      <c r="L82" s="1" t="s">
        <v>537</v>
      </c>
      <c r="M82" s="1" t="s">
        <v>538</v>
      </c>
      <c r="O82" s="1" t="s">
        <v>2</v>
      </c>
      <c r="P82" s="1">
        <v>0</v>
      </c>
      <c r="R82" s="2">
        <v>46069.398654483484</v>
      </c>
      <c r="S82">
        <f t="shared" si="4"/>
        <v>0</v>
      </c>
      <c r="T82">
        <f t="shared" si="5"/>
        <v>0</v>
      </c>
      <c r="U82">
        <f t="shared" si="6"/>
        <v>0</v>
      </c>
      <c r="V82" cm="1">
        <f t="array" ref="V82">IF(OR(H82="",Q82=""),
   0,
   SUM(--ISNUMBER(MATCH(TRIM(_xlfn.TEXTSPLIT(H82,";")),TRIM(_xlfn.TEXTSPLIT(Q82,";")),0)))
)</f>
        <v>0</v>
      </c>
      <c r="W82">
        <f t="shared" si="7"/>
        <v>0</v>
      </c>
    </row>
    <row r="83" spans="1:23" ht="13" x14ac:dyDescent="0.15">
      <c r="A83" s="1" t="s">
        <v>218</v>
      </c>
      <c r="B83" s="1">
        <v>16</v>
      </c>
      <c r="C83" s="1" t="s">
        <v>221</v>
      </c>
      <c r="D83" s="1" t="s">
        <v>222</v>
      </c>
      <c r="F83" s="1" t="s">
        <v>2</v>
      </c>
      <c r="G83" s="1">
        <v>2</v>
      </c>
      <c r="H83" s="1" t="s">
        <v>223</v>
      </c>
      <c r="I83" s="2">
        <v>46086.151637020463</v>
      </c>
      <c r="J83" s="1" t="s">
        <v>218</v>
      </c>
      <c r="K83" s="1">
        <v>16</v>
      </c>
      <c r="L83" s="1" t="s">
        <v>539</v>
      </c>
      <c r="M83" s="1" t="s">
        <v>540</v>
      </c>
      <c r="O83" s="1" t="s">
        <v>2</v>
      </c>
      <c r="P83" s="1">
        <v>2</v>
      </c>
      <c r="Q83" s="1" t="s">
        <v>223</v>
      </c>
      <c r="R83" s="2">
        <v>46069.399430074896</v>
      </c>
      <c r="S83">
        <f t="shared" si="4"/>
        <v>0</v>
      </c>
      <c r="T83">
        <f t="shared" si="5"/>
        <v>0</v>
      </c>
      <c r="U83">
        <f t="shared" si="6"/>
        <v>2</v>
      </c>
      <c r="V83" cm="1">
        <f t="array" ref="V83">IF(OR(H83="",Q83=""),
   0,
   SUM(--ISNUMBER(MATCH(TRIM(_xlfn.TEXTSPLIT(H83,";")),TRIM(_xlfn.TEXTSPLIT(Q83,";")),0)))
)</f>
        <v>2</v>
      </c>
      <c r="W83">
        <f t="shared" si="7"/>
        <v>1</v>
      </c>
    </row>
    <row r="84" spans="1:23" ht="13" x14ac:dyDescent="0.15">
      <c r="A84" s="1" t="s">
        <v>218</v>
      </c>
      <c r="B84" s="1">
        <v>18</v>
      </c>
      <c r="C84" s="1" t="s">
        <v>224</v>
      </c>
      <c r="D84" s="1" t="s">
        <v>225</v>
      </c>
      <c r="F84" s="1" t="s">
        <v>2</v>
      </c>
      <c r="G84" s="1">
        <v>2</v>
      </c>
      <c r="H84" s="1" t="s">
        <v>226</v>
      </c>
      <c r="I84" s="2">
        <v>46086.15254897163</v>
      </c>
      <c r="J84" s="1" t="s">
        <v>218</v>
      </c>
      <c r="K84" s="1">
        <v>18</v>
      </c>
      <c r="L84" s="1" t="s">
        <v>541</v>
      </c>
      <c r="M84" s="1" t="s">
        <v>542</v>
      </c>
      <c r="O84" s="1" t="s">
        <v>2</v>
      </c>
      <c r="P84" s="1">
        <v>2</v>
      </c>
      <c r="Q84" s="1" t="s">
        <v>226</v>
      </c>
      <c r="R84" s="2">
        <v>46069.400161334954</v>
      </c>
      <c r="S84">
        <f t="shared" si="4"/>
        <v>0</v>
      </c>
      <c r="T84">
        <f t="shared" si="5"/>
        <v>0</v>
      </c>
      <c r="U84">
        <f t="shared" si="6"/>
        <v>2</v>
      </c>
      <c r="V84" cm="1">
        <f t="array" ref="V84">IF(OR(H84="",Q84=""),
   0,
   SUM(--ISNUMBER(MATCH(TRIM(_xlfn.TEXTSPLIT(H84,";")),TRIM(_xlfn.TEXTSPLIT(Q84,";")),0)))
)</f>
        <v>2</v>
      </c>
      <c r="W84">
        <f t="shared" si="7"/>
        <v>1</v>
      </c>
    </row>
    <row r="85" spans="1:23" ht="13" x14ac:dyDescent="0.15">
      <c r="A85" s="1" t="s">
        <v>218</v>
      </c>
      <c r="B85" s="1">
        <v>20</v>
      </c>
      <c r="C85" s="1" t="s">
        <v>227</v>
      </c>
      <c r="D85" s="1" t="s">
        <v>228</v>
      </c>
      <c r="F85" s="1" t="s">
        <v>2</v>
      </c>
      <c r="G85" s="1">
        <v>0</v>
      </c>
      <c r="I85" s="2">
        <v>46086.154539187941</v>
      </c>
      <c r="J85" s="1" t="s">
        <v>218</v>
      </c>
      <c r="K85" s="1">
        <v>20</v>
      </c>
      <c r="L85" s="1" t="s">
        <v>543</v>
      </c>
      <c r="M85" s="1" t="s">
        <v>544</v>
      </c>
      <c r="O85" s="1" t="s">
        <v>2</v>
      </c>
      <c r="P85" s="1">
        <v>0</v>
      </c>
      <c r="R85" s="2">
        <v>46069.402078953601</v>
      </c>
      <c r="S85">
        <f t="shared" si="4"/>
        <v>0</v>
      </c>
      <c r="T85">
        <f t="shared" si="5"/>
        <v>0</v>
      </c>
      <c r="U85">
        <f t="shared" si="6"/>
        <v>0</v>
      </c>
      <c r="V85" cm="1">
        <f t="array" ref="V85">IF(OR(H85="",Q85=""),
   0,
   SUM(--ISNUMBER(MATCH(TRIM(_xlfn.TEXTSPLIT(H85,";")),TRIM(_xlfn.TEXTSPLIT(Q85,";")),0)))
)</f>
        <v>0</v>
      </c>
      <c r="W85">
        <f t="shared" si="7"/>
        <v>0</v>
      </c>
    </row>
    <row r="86" spans="1:23" ht="13" x14ac:dyDescent="0.15">
      <c r="A86" s="1" t="s">
        <v>218</v>
      </c>
      <c r="B86" s="1">
        <v>25</v>
      </c>
      <c r="C86" s="1" t="s">
        <v>229</v>
      </c>
      <c r="D86" s="1" t="s">
        <v>230</v>
      </c>
      <c r="F86" s="1" t="s">
        <v>2</v>
      </c>
      <c r="G86" s="1">
        <v>3</v>
      </c>
      <c r="H86" s="1" t="s">
        <v>231</v>
      </c>
      <c r="I86" s="2">
        <v>46086.155528649018</v>
      </c>
      <c r="J86" s="1" t="s">
        <v>218</v>
      </c>
      <c r="K86" s="1">
        <v>25</v>
      </c>
      <c r="L86" s="1" t="s">
        <v>545</v>
      </c>
      <c r="M86" s="1" t="s">
        <v>546</v>
      </c>
      <c r="O86" s="1" t="s">
        <v>2</v>
      </c>
      <c r="P86" s="1">
        <v>2</v>
      </c>
      <c r="Q86" s="1" t="s">
        <v>370</v>
      </c>
      <c r="R86" s="2">
        <v>46069.40299308917</v>
      </c>
      <c r="S86">
        <f t="shared" si="4"/>
        <v>0</v>
      </c>
      <c r="T86">
        <f t="shared" si="5"/>
        <v>1</v>
      </c>
      <c r="U86">
        <f t="shared" si="6"/>
        <v>3</v>
      </c>
      <c r="V86" cm="1">
        <f t="array" ref="V86">IF(OR(H86="",Q86=""),
   0,
   SUM(--ISNUMBER(MATCH(TRIM(_xlfn.TEXTSPLIT(H86,";")),TRIM(_xlfn.TEXTSPLIT(Q86,";")),0)))
)</f>
        <v>2</v>
      </c>
      <c r="W86">
        <f t="shared" si="7"/>
        <v>1.5</v>
      </c>
    </row>
    <row r="87" spans="1:23" ht="13" x14ac:dyDescent="0.15">
      <c r="A87" s="1" t="s">
        <v>218</v>
      </c>
      <c r="B87" s="1">
        <v>26</v>
      </c>
      <c r="C87" s="1" t="s">
        <v>232</v>
      </c>
      <c r="D87" s="1" t="s">
        <v>233</v>
      </c>
      <c r="F87" s="1" t="s">
        <v>2</v>
      </c>
      <c r="G87" s="1">
        <v>1</v>
      </c>
      <c r="H87" s="1" t="s">
        <v>234</v>
      </c>
      <c r="I87" s="2">
        <v>46086.157462537245</v>
      </c>
      <c r="J87" s="1" t="s">
        <v>218</v>
      </c>
      <c r="K87" s="1">
        <v>26</v>
      </c>
      <c r="L87" s="1" t="s">
        <v>547</v>
      </c>
      <c r="M87" s="1" t="s">
        <v>548</v>
      </c>
      <c r="O87" s="1" t="s">
        <v>37</v>
      </c>
      <c r="P87" s="1">
        <v>0</v>
      </c>
      <c r="R87" s="2">
        <v>46069.404802378158</v>
      </c>
      <c r="S87">
        <f t="shared" si="4"/>
        <v>1</v>
      </c>
      <c r="T87">
        <f t="shared" si="5"/>
        <v>1</v>
      </c>
      <c r="U87">
        <f t="shared" si="6"/>
        <v>1</v>
      </c>
      <c r="V87" cm="1">
        <f t="array" ref="V87">IF(OR(H87="",Q87=""),
   0,
   SUM(--ISNUMBER(MATCH(TRIM(_xlfn.TEXTSPLIT(H87,";")),TRIM(_xlfn.TEXTSPLIT(Q87,";")),0)))
)</f>
        <v>0</v>
      </c>
      <c r="W87">
        <f t="shared" si="7"/>
        <v>1</v>
      </c>
    </row>
    <row r="88" spans="1:23" ht="13" x14ac:dyDescent="0.15">
      <c r="A88" s="1" t="s">
        <v>218</v>
      </c>
      <c r="B88" s="1">
        <v>27</v>
      </c>
      <c r="C88" s="1" t="s">
        <v>235</v>
      </c>
      <c r="D88" s="1" t="s">
        <v>236</v>
      </c>
      <c r="F88" s="1" t="s">
        <v>2</v>
      </c>
      <c r="G88" s="1">
        <v>2</v>
      </c>
      <c r="H88" s="1" t="s">
        <v>237</v>
      </c>
      <c r="I88" s="2">
        <v>46086.15841223795</v>
      </c>
      <c r="J88" s="1" t="s">
        <v>218</v>
      </c>
      <c r="K88" s="1">
        <v>27</v>
      </c>
      <c r="L88" s="1" t="s">
        <v>549</v>
      </c>
      <c r="M88" s="1" t="s">
        <v>550</v>
      </c>
      <c r="O88" s="1" t="s">
        <v>2</v>
      </c>
      <c r="P88" s="1">
        <v>0</v>
      </c>
      <c r="R88" s="2">
        <v>46069.405917167278</v>
      </c>
      <c r="S88">
        <f t="shared" si="4"/>
        <v>0</v>
      </c>
      <c r="T88">
        <f t="shared" si="5"/>
        <v>2</v>
      </c>
      <c r="U88">
        <f t="shared" si="6"/>
        <v>2</v>
      </c>
      <c r="V88" cm="1">
        <f t="array" ref="V88">IF(OR(H88="",Q88=""),
   0,
   SUM(--ISNUMBER(MATCH(TRIM(_xlfn.TEXTSPLIT(H88,";")),TRIM(_xlfn.TEXTSPLIT(Q88,";")),0)))
)</f>
        <v>0</v>
      </c>
      <c r="W88">
        <f t="shared" si="7"/>
        <v>2</v>
      </c>
    </row>
    <row r="89" spans="1:23" ht="13" x14ac:dyDescent="0.15">
      <c r="A89" s="1" t="s">
        <v>218</v>
      </c>
      <c r="B89" s="1">
        <v>30</v>
      </c>
      <c r="C89" s="1" t="s">
        <v>238</v>
      </c>
      <c r="D89" s="1" t="s">
        <v>239</v>
      </c>
      <c r="F89" s="1" t="s">
        <v>2</v>
      </c>
      <c r="G89" s="1">
        <v>0</v>
      </c>
      <c r="I89" s="2">
        <v>46086.160238026736</v>
      </c>
      <c r="J89" s="1" t="s">
        <v>218</v>
      </c>
      <c r="K89" s="1">
        <v>30</v>
      </c>
      <c r="L89" s="1" t="s">
        <v>551</v>
      </c>
      <c r="M89" s="1" t="s">
        <v>552</v>
      </c>
      <c r="O89" s="1" t="s">
        <v>2</v>
      </c>
      <c r="P89" s="1">
        <v>4</v>
      </c>
      <c r="Q89" s="1" t="s">
        <v>371</v>
      </c>
      <c r="R89" s="2">
        <v>46069.407591606796</v>
      </c>
      <c r="S89">
        <f t="shared" si="4"/>
        <v>0</v>
      </c>
      <c r="T89">
        <f t="shared" si="5"/>
        <v>4</v>
      </c>
      <c r="U89">
        <f t="shared" si="6"/>
        <v>4</v>
      </c>
      <c r="V89" cm="1">
        <f t="array" ref="V89">IF(OR(H89="",Q89=""),
   0,
   SUM(--ISNUMBER(MATCH(TRIM(_xlfn.TEXTSPLIT(H89,";")),TRIM(_xlfn.TEXTSPLIT(Q89,";")),0)))
)</f>
        <v>0</v>
      </c>
      <c r="W89">
        <f t="shared" si="7"/>
        <v>4</v>
      </c>
    </row>
    <row r="90" spans="1:23" ht="13" x14ac:dyDescent="0.15">
      <c r="A90" s="1" t="s">
        <v>218</v>
      </c>
      <c r="B90" s="1">
        <v>34</v>
      </c>
      <c r="C90" s="1" t="s">
        <v>240</v>
      </c>
      <c r="D90" s="1" t="s">
        <v>241</v>
      </c>
      <c r="F90" s="1" t="s">
        <v>2</v>
      </c>
      <c r="G90" s="1">
        <v>0</v>
      </c>
      <c r="I90" s="2">
        <v>46086.162260822777</v>
      </c>
      <c r="J90" s="1" t="s">
        <v>218</v>
      </c>
      <c r="K90" s="1">
        <v>34</v>
      </c>
      <c r="L90" s="1" t="s">
        <v>553</v>
      </c>
      <c r="M90" s="1" t="s">
        <v>554</v>
      </c>
      <c r="O90" s="1" t="s">
        <v>2</v>
      </c>
      <c r="P90" s="1">
        <v>1</v>
      </c>
      <c r="Q90" s="1" t="s">
        <v>372</v>
      </c>
      <c r="R90" s="2">
        <v>46069.409831603261</v>
      </c>
      <c r="S90">
        <f t="shared" si="4"/>
        <v>0</v>
      </c>
      <c r="T90">
        <f t="shared" si="5"/>
        <v>1</v>
      </c>
      <c r="U90">
        <f t="shared" si="6"/>
        <v>1</v>
      </c>
      <c r="V90" cm="1">
        <f t="array" ref="V90">IF(OR(H90="",Q90=""),
   0,
   SUM(--ISNUMBER(MATCH(TRIM(_xlfn.TEXTSPLIT(H90,";")),TRIM(_xlfn.TEXTSPLIT(Q90,";")),0)))
)</f>
        <v>0</v>
      </c>
      <c r="W90">
        <f t="shared" si="7"/>
        <v>1</v>
      </c>
    </row>
    <row r="91" spans="1:23" ht="13" x14ac:dyDescent="0.15">
      <c r="A91" s="1" t="s">
        <v>218</v>
      </c>
      <c r="B91" s="1">
        <v>36</v>
      </c>
      <c r="C91" s="1" t="s">
        <v>242</v>
      </c>
      <c r="D91" s="1" t="s">
        <v>243</v>
      </c>
      <c r="F91" s="1" t="s">
        <v>2</v>
      </c>
      <c r="G91" s="1">
        <v>6</v>
      </c>
      <c r="H91" s="1" t="s">
        <v>244</v>
      </c>
      <c r="I91" s="2">
        <v>46086.164319232856</v>
      </c>
      <c r="J91" s="1" t="s">
        <v>218</v>
      </c>
      <c r="K91" s="1">
        <v>36</v>
      </c>
      <c r="L91" s="1" t="s">
        <v>555</v>
      </c>
      <c r="M91" s="1" t="s">
        <v>556</v>
      </c>
      <c r="O91" s="1" t="s">
        <v>2</v>
      </c>
      <c r="P91" s="1">
        <v>6</v>
      </c>
      <c r="Q91" s="1" t="s">
        <v>244</v>
      </c>
      <c r="R91" s="2">
        <v>46069.411866154674</v>
      </c>
      <c r="S91">
        <f t="shared" si="4"/>
        <v>0</v>
      </c>
      <c r="T91">
        <f t="shared" si="5"/>
        <v>0</v>
      </c>
      <c r="U91">
        <f t="shared" si="6"/>
        <v>6</v>
      </c>
      <c r="V91" cm="1">
        <f t="array" ref="V91">IF(OR(H91="",Q91=""),
   0,
   SUM(--ISNUMBER(MATCH(TRIM(_xlfn.TEXTSPLIT(H91,";")),TRIM(_xlfn.TEXTSPLIT(Q91,";")),0)))
)</f>
        <v>6</v>
      </c>
      <c r="W91">
        <f t="shared" si="7"/>
        <v>1</v>
      </c>
    </row>
    <row r="92" spans="1:23" ht="13" x14ac:dyDescent="0.15">
      <c r="A92" s="1" t="s">
        <v>218</v>
      </c>
      <c r="B92" s="1">
        <v>39</v>
      </c>
      <c r="C92" s="1" t="s">
        <v>245</v>
      </c>
      <c r="D92" s="1" t="s">
        <v>246</v>
      </c>
      <c r="F92" s="1" t="s">
        <v>2</v>
      </c>
      <c r="G92" s="1">
        <v>1</v>
      </c>
      <c r="H92" s="1" t="s">
        <v>247</v>
      </c>
      <c r="I92" s="2">
        <v>46086.166732021884</v>
      </c>
      <c r="J92" s="1" t="s">
        <v>218</v>
      </c>
      <c r="K92" s="1">
        <v>39</v>
      </c>
      <c r="L92" s="1" t="s">
        <v>557</v>
      </c>
      <c r="M92" s="1" t="s">
        <v>558</v>
      </c>
      <c r="O92" s="1" t="s">
        <v>37</v>
      </c>
      <c r="P92" s="1">
        <v>0</v>
      </c>
      <c r="R92" s="2">
        <v>46069.413478003255</v>
      </c>
      <c r="S92">
        <f t="shared" si="4"/>
        <v>1</v>
      </c>
      <c r="T92">
        <f t="shared" si="5"/>
        <v>1</v>
      </c>
      <c r="U92">
        <f t="shared" si="6"/>
        <v>1</v>
      </c>
      <c r="V92" cm="1">
        <f t="array" ref="V92">IF(OR(H92="",Q92=""),
   0,
   SUM(--ISNUMBER(MATCH(TRIM(_xlfn.TEXTSPLIT(H92,";")),TRIM(_xlfn.TEXTSPLIT(Q92,";")),0)))
)</f>
        <v>0</v>
      </c>
      <c r="W92">
        <f t="shared" si="7"/>
        <v>1</v>
      </c>
    </row>
    <row r="93" spans="1:23" ht="13" x14ac:dyDescent="0.15">
      <c r="A93" s="1" t="s">
        <v>218</v>
      </c>
      <c r="B93" s="1">
        <v>40</v>
      </c>
      <c r="C93" s="1" t="s">
        <v>248</v>
      </c>
      <c r="D93" s="1" t="s">
        <v>249</v>
      </c>
      <c r="F93" s="1" t="s">
        <v>2</v>
      </c>
      <c r="G93" s="1">
        <v>3</v>
      </c>
      <c r="H93" s="1" t="s">
        <v>250</v>
      </c>
      <c r="I93" s="2">
        <v>46086.167702305465</v>
      </c>
      <c r="J93" s="1" t="s">
        <v>218</v>
      </c>
      <c r="K93" s="1">
        <v>40</v>
      </c>
      <c r="L93" s="1" t="s">
        <v>559</v>
      </c>
      <c r="M93" s="1" t="s">
        <v>560</v>
      </c>
      <c r="O93" s="1" t="s">
        <v>2</v>
      </c>
      <c r="P93" s="1">
        <v>12</v>
      </c>
      <c r="Q93" s="1" t="s">
        <v>373</v>
      </c>
      <c r="R93" s="2">
        <v>46069.415407469722</v>
      </c>
      <c r="S93">
        <f t="shared" si="4"/>
        <v>0</v>
      </c>
      <c r="T93">
        <f t="shared" si="5"/>
        <v>9</v>
      </c>
      <c r="U93">
        <f t="shared" si="6"/>
        <v>12</v>
      </c>
      <c r="V93" cm="1">
        <f t="array" ref="V93">IF(OR(H93="",Q93=""),
   0,
   SUM(--ISNUMBER(MATCH(TRIM(_xlfn.TEXTSPLIT(H93,";")),TRIM(_xlfn.TEXTSPLIT(Q93,";")),0)))
)</f>
        <v>3</v>
      </c>
      <c r="W93">
        <f t="shared" si="7"/>
        <v>4</v>
      </c>
    </row>
    <row r="94" spans="1:23" ht="13" x14ac:dyDescent="0.15">
      <c r="A94" s="1" t="s">
        <v>218</v>
      </c>
      <c r="B94" s="1">
        <v>42</v>
      </c>
      <c r="C94" s="1" t="s">
        <v>251</v>
      </c>
      <c r="D94" s="1" t="s">
        <v>252</v>
      </c>
      <c r="F94" s="1" t="s">
        <v>2</v>
      </c>
      <c r="G94" s="1">
        <v>2</v>
      </c>
      <c r="H94" s="1" t="s">
        <v>253</v>
      </c>
      <c r="I94" s="2">
        <v>46086.170884586572</v>
      </c>
      <c r="J94" s="1" t="s">
        <v>218</v>
      </c>
      <c r="K94" s="1">
        <v>42</v>
      </c>
      <c r="L94" s="1" t="s">
        <v>561</v>
      </c>
      <c r="M94" s="1" t="s">
        <v>562</v>
      </c>
      <c r="O94" s="1" t="s">
        <v>2</v>
      </c>
      <c r="P94" s="1">
        <v>2</v>
      </c>
      <c r="Q94" s="1" t="s">
        <v>253</v>
      </c>
      <c r="R94" s="2">
        <v>46069.416317579031</v>
      </c>
      <c r="S94">
        <f t="shared" si="4"/>
        <v>0</v>
      </c>
      <c r="T94">
        <f t="shared" si="5"/>
        <v>0</v>
      </c>
      <c r="U94">
        <f t="shared" si="6"/>
        <v>2</v>
      </c>
      <c r="V94" cm="1">
        <f t="array" ref="V94">IF(OR(H94="",Q94=""),
   0,
   SUM(--ISNUMBER(MATCH(TRIM(_xlfn.TEXTSPLIT(H94,";")),TRIM(_xlfn.TEXTSPLIT(Q94,";")),0)))
)</f>
        <v>2</v>
      </c>
      <c r="W94">
        <f t="shared" si="7"/>
        <v>1</v>
      </c>
    </row>
    <row r="95" spans="1:23" ht="13" x14ac:dyDescent="0.15">
      <c r="A95" s="1" t="s">
        <v>218</v>
      </c>
      <c r="B95" s="1">
        <v>44</v>
      </c>
      <c r="C95" s="1" t="s">
        <v>254</v>
      </c>
      <c r="D95" s="1" t="s">
        <v>255</v>
      </c>
      <c r="F95" s="1" t="s">
        <v>2</v>
      </c>
      <c r="G95" s="1">
        <v>1</v>
      </c>
      <c r="H95" s="1" t="s">
        <v>256</v>
      </c>
      <c r="I95" s="2">
        <v>46086.172767615637</v>
      </c>
      <c r="J95" s="1" t="s">
        <v>218</v>
      </c>
      <c r="K95" s="1">
        <v>44</v>
      </c>
      <c r="L95" s="1" t="s">
        <v>563</v>
      </c>
      <c r="M95" s="1" t="s">
        <v>564</v>
      </c>
      <c r="O95" s="1" t="s">
        <v>2</v>
      </c>
      <c r="P95" s="1">
        <v>1</v>
      </c>
      <c r="Q95" s="1" t="s">
        <v>256</v>
      </c>
      <c r="R95" s="2">
        <v>46069.417830706654</v>
      </c>
      <c r="S95">
        <f t="shared" si="4"/>
        <v>0</v>
      </c>
      <c r="T95">
        <f t="shared" si="5"/>
        <v>0</v>
      </c>
      <c r="U95">
        <f t="shared" si="6"/>
        <v>1</v>
      </c>
      <c r="V95" cm="1">
        <f t="array" ref="V95">IF(OR(H95="",Q95=""),
   0,
   SUM(--ISNUMBER(MATCH(TRIM(_xlfn.TEXTSPLIT(H95,";")),TRIM(_xlfn.TEXTSPLIT(Q95,";")),0)))
)</f>
        <v>1</v>
      </c>
      <c r="W95">
        <f t="shared" si="7"/>
        <v>1</v>
      </c>
    </row>
    <row r="96" spans="1:23" ht="13" x14ac:dyDescent="0.15">
      <c r="A96" s="1" t="s">
        <v>218</v>
      </c>
      <c r="B96" s="1">
        <v>54</v>
      </c>
      <c r="C96" s="1" t="s">
        <v>257</v>
      </c>
      <c r="D96" s="1" t="s">
        <v>258</v>
      </c>
      <c r="F96" s="1" t="s">
        <v>2</v>
      </c>
      <c r="G96" s="1">
        <v>1</v>
      </c>
      <c r="H96" s="1" t="s">
        <v>259</v>
      </c>
      <c r="I96" s="2">
        <v>46086.176846085131</v>
      </c>
      <c r="J96" s="1" t="s">
        <v>218</v>
      </c>
      <c r="K96" s="1">
        <v>54</v>
      </c>
      <c r="L96" s="1" t="s">
        <v>565</v>
      </c>
      <c r="M96" s="1" t="s">
        <v>566</v>
      </c>
      <c r="O96" s="1" t="s">
        <v>2</v>
      </c>
      <c r="P96" s="1">
        <v>0</v>
      </c>
      <c r="R96" s="2">
        <v>46069.418770549608</v>
      </c>
      <c r="S96">
        <f t="shared" si="4"/>
        <v>0</v>
      </c>
      <c r="T96">
        <f t="shared" si="5"/>
        <v>1</v>
      </c>
      <c r="U96">
        <f t="shared" si="6"/>
        <v>1</v>
      </c>
      <c r="V96" cm="1">
        <f t="array" ref="V96">IF(OR(H96="",Q96=""),
   0,
   SUM(--ISNUMBER(MATCH(TRIM(_xlfn.TEXTSPLIT(H96,";")),TRIM(_xlfn.TEXTSPLIT(Q96,";")),0)))
)</f>
        <v>0</v>
      </c>
      <c r="W96">
        <f t="shared" si="7"/>
        <v>1</v>
      </c>
    </row>
    <row r="97" spans="1:23" ht="13" x14ac:dyDescent="0.15">
      <c r="A97" s="1" t="s">
        <v>218</v>
      </c>
      <c r="B97" s="1">
        <v>69</v>
      </c>
      <c r="C97" s="1" t="s">
        <v>260</v>
      </c>
      <c r="D97" s="1" t="s">
        <v>261</v>
      </c>
      <c r="F97" s="1" t="s">
        <v>2</v>
      </c>
      <c r="G97" s="1">
        <v>3</v>
      </c>
      <c r="H97" s="1" t="s">
        <v>262</v>
      </c>
      <c r="I97" s="2">
        <v>46086.178766613935</v>
      </c>
      <c r="J97" s="1" t="s">
        <v>218</v>
      </c>
      <c r="K97" s="1">
        <v>69</v>
      </c>
      <c r="L97" s="1" t="s">
        <v>567</v>
      </c>
      <c r="M97" s="1" t="s">
        <v>568</v>
      </c>
      <c r="O97" s="1" t="s">
        <v>2</v>
      </c>
      <c r="P97" s="1">
        <v>2</v>
      </c>
      <c r="Q97" s="1" t="s">
        <v>374</v>
      </c>
      <c r="R97" s="2">
        <v>46069.421196868047</v>
      </c>
      <c r="S97">
        <f t="shared" si="4"/>
        <v>0</v>
      </c>
      <c r="T97">
        <f t="shared" si="5"/>
        <v>1</v>
      </c>
      <c r="U97">
        <f t="shared" si="6"/>
        <v>3</v>
      </c>
      <c r="V97" cm="1">
        <f t="array" ref="V97">IF(OR(H97="",Q97=""),
   0,
   SUM(--ISNUMBER(MATCH(TRIM(_xlfn.TEXTSPLIT(H97,";")),TRIM(_xlfn.TEXTSPLIT(Q97,";")),0)))
)</f>
        <v>2</v>
      </c>
      <c r="W97">
        <f t="shared" si="7"/>
        <v>1.5</v>
      </c>
    </row>
    <row r="98" spans="1:23" ht="13" x14ac:dyDescent="0.15">
      <c r="A98" s="1" t="s">
        <v>218</v>
      </c>
      <c r="B98" s="1">
        <v>73</v>
      </c>
      <c r="C98" s="1" t="s">
        <v>263</v>
      </c>
      <c r="D98" s="1" t="s">
        <v>264</v>
      </c>
      <c r="F98" s="1" t="s">
        <v>2</v>
      </c>
      <c r="G98" s="1">
        <v>2</v>
      </c>
      <c r="H98" s="1" t="s">
        <v>265</v>
      </c>
      <c r="I98" s="2">
        <v>46086.182224206896</v>
      </c>
      <c r="J98" s="1" t="s">
        <v>218</v>
      </c>
      <c r="K98" s="1">
        <v>73</v>
      </c>
      <c r="L98" s="1" t="s">
        <v>569</v>
      </c>
      <c r="M98" s="1" t="s">
        <v>570</v>
      </c>
      <c r="O98" s="1" t="s">
        <v>2</v>
      </c>
      <c r="P98" s="1">
        <v>2</v>
      </c>
      <c r="Q98" s="1" t="s">
        <v>375</v>
      </c>
      <c r="R98" s="2">
        <v>46069.422352047746</v>
      </c>
      <c r="S98">
        <f t="shared" si="4"/>
        <v>0</v>
      </c>
      <c r="T98">
        <f t="shared" si="5"/>
        <v>0</v>
      </c>
      <c r="U98">
        <f t="shared" si="6"/>
        <v>3</v>
      </c>
      <c r="V98" cm="1">
        <f t="array" ref="V98">IF(OR(H98="",Q98=""),
   0,
   SUM(--ISNUMBER(MATCH(TRIM(_xlfn.TEXTSPLIT(H98,";")),TRIM(_xlfn.TEXTSPLIT(Q98,";")),0)))
)</f>
        <v>1</v>
      </c>
      <c r="W98">
        <f t="shared" si="7"/>
        <v>3</v>
      </c>
    </row>
    <row r="99" spans="1:23" ht="13" x14ac:dyDescent="0.15">
      <c r="A99" s="1" t="s">
        <v>218</v>
      </c>
      <c r="B99" s="1">
        <v>77</v>
      </c>
      <c r="C99" s="1" t="s">
        <v>266</v>
      </c>
      <c r="D99" s="1" t="s">
        <v>267</v>
      </c>
      <c r="F99" s="1" t="s">
        <v>2</v>
      </c>
      <c r="G99" s="1">
        <v>1</v>
      </c>
      <c r="H99" s="1" t="s">
        <v>268</v>
      </c>
      <c r="I99" s="2">
        <v>46086.185776941842</v>
      </c>
      <c r="J99" s="1" t="s">
        <v>218</v>
      </c>
      <c r="K99" s="1">
        <v>77</v>
      </c>
      <c r="L99" s="1" t="s">
        <v>571</v>
      </c>
      <c r="M99" s="1" t="s">
        <v>572</v>
      </c>
      <c r="O99" s="1" t="s">
        <v>37</v>
      </c>
      <c r="P99" s="1">
        <v>0</v>
      </c>
      <c r="R99" s="2">
        <v>46069.424028054666</v>
      </c>
      <c r="S99">
        <f t="shared" si="4"/>
        <v>1</v>
      </c>
      <c r="T99">
        <f t="shared" si="5"/>
        <v>1</v>
      </c>
      <c r="U99">
        <f t="shared" si="6"/>
        <v>1</v>
      </c>
      <c r="V99" cm="1">
        <f t="array" ref="V99">IF(OR(H99="",Q99=""),
   0,
   SUM(--ISNUMBER(MATCH(TRIM(_xlfn.TEXTSPLIT(H99,";")),TRIM(_xlfn.TEXTSPLIT(Q99,";")),0)))
)</f>
        <v>0</v>
      </c>
      <c r="W99">
        <f t="shared" si="7"/>
        <v>1</v>
      </c>
    </row>
    <row r="100" spans="1:23" ht="13" x14ac:dyDescent="0.15">
      <c r="A100" s="1" t="s">
        <v>218</v>
      </c>
      <c r="B100" s="1">
        <v>79</v>
      </c>
      <c r="C100" s="1" t="s">
        <v>269</v>
      </c>
      <c r="D100" s="1" t="s">
        <v>270</v>
      </c>
      <c r="F100" s="1" t="s">
        <v>2</v>
      </c>
      <c r="G100" s="1">
        <v>1</v>
      </c>
      <c r="H100" s="1" t="s">
        <v>271</v>
      </c>
      <c r="I100" s="2">
        <v>46086.187725995325</v>
      </c>
      <c r="J100" s="1" t="s">
        <v>218</v>
      </c>
      <c r="K100" s="1">
        <v>79</v>
      </c>
      <c r="L100" s="1" t="s">
        <v>573</v>
      </c>
      <c r="M100" s="1" t="s">
        <v>574</v>
      </c>
      <c r="O100" s="1" t="s">
        <v>2</v>
      </c>
      <c r="P100" s="1">
        <v>1</v>
      </c>
      <c r="Q100" s="1" t="s">
        <v>271</v>
      </c>
      <c r="R100" s="2">
        <v>46069.426309864699</v>
      </c>
      <c r="S100">
        <f t="shared" si="4"/>
        <v>0</v>
      </c>
      <c r="T100">
        <f t="shared" si="5"/>
        <v>0</v>
      </c>
      <c r="U100">
        <f t="shared" si="6"/>
        <v>1</v>
      </c>
      <c r="V100" cm="1">
        <f t="array" ref="V100">IF(OR(H100="",Q100=""),
   0,
   SUM(--ISNUMBER(MATCH(TRIM(_xlfn.TEXTSPLIT(H100,";")),TRIM(_xlfn.TEXTSPLIT(Q100,";")),0)))
)</f>
        <v>1</v>
      </c>
      <c r="W100">
        <f t="shared" si="7"/>
        <v>1</v>
      </c>
    </row>
    <row r="101" spans="1:23" ht="13" x14ac:dyDescent="0.15">
      <c r="A101" s="1" t="s">
        <v>218</v>
      </c>
      <c r="B101" s="1">
        <v>80</v>
      </c>
      <c r="C101" s="1" t="s">
        <v>272</v>
      </c>
      <c r="D101" s="1" t="s">
        <v>273</v>
      </c>
      <c r="F101" s="1" t="s">
        <v>2</v>
      </c>
      <c r="G101" s="1">
        <v>2</v>
      </c>
      <c r="H101" s="1" t="s">
        <v>274</v>
      </c>
      <c r="I101" s="2">
        <v>46086.188875924221</v>
      </c>
      <c r="J101" s="1" t="s">
        <v>218</v>
      </c>
      <c r="K101" s="1">
        <v>80</v>
      </c>
      <c r="L101" s="1" t="s">
        <v>575</v>
      </c>
      <c r="M101" s="1" t="s">
        <v>576</v>
      </c>
      <c r="O101" s="1" t="s">
        <v>2</v>
      </c>
      <c r="P101" s="1">
        <v>0</v>
      </c>
      <c r="R101" s="2">
        <v>46069.428078524041</v>
      </c>
      <c r="S101">
        <f t="shared" si="4"/>
        <v>0</v>
      </c>
      <c r="T101">
        <f t="shared" si="5"/>
        <v>2</v>
      </c>
      <c r="U101">
        <f t="shared" si="6"/>
        <v>2</v>
      </c>
      <c r="V101" cm="1">
        <f t="array" ref="V101">IF(OR(H101="",Q101=""),
   0,
   SUM(--ISNUMBER(MATCH(TRIM(_xlfn.TEXTSPLIT(H101,";")),TRIM(_xlfn.TEXTSPLIT(Q101,";")),0)))
)</f>
        <v>0</v>
      </c>
      <c r="W101">
        <f t="shared" si="7"/>
        <v>2</v>
      </c>
    </row>
    <row r="102" spans="1:23" ht="13" x14ac:dyDescent="0.15">
      <c r="A102" s="1" t="s">
        <v>218</v>
      </c>
      <c r="B102" s="1">
        <v>84</v>
      </c>
      <c r="C102" s="1" t="s">
        <v>275</v>
      </c>
      <c r="D102" s="1" t="s">
        <v>276</v>
      </c>
      <c r="F102" s="1" t="s">
        <v>2</v>
      </c>
      <c r="G102" s="1">
        <v>2</v>
      </c>
      <c r="H102" s="1" t="s">
        <v>277</v>
      </c>
      <c r="I102" s="2">
        <v>46086.190445556051</v>
      </c>
      <c r="J102" s="1" t="s">
        <v>218</v>
      </c>
      <c r="K102" s="1">
        <v>84</v>
      </c>
      <c r="L102" s="1" t="s">
        <v>577</v>
      </c>
      <c r="M102" s="1" t="s">
        <v>578</v>
      </c>
      <c r="O102" s="1" t="s">
        <v>2</v>
      </c>
      <c r="P102" s="1">
        <v>1</v>
      </c>
      <c r="Q102" s="1" t="s">
        <v>376</v>
      </c>
      <c r="R102" s="2">
        <v>46069.42967030104</v>
      </c>
      <c r="S102">
        <f t="shared" si="4"/>
        <v>0</v>
      </c>
      <c r="T102">
        <f t="shared" si="5"/>
        <v>1</v>
      </c>
      <c r="U102">
        <f t="shared" si="6"/>
        <v>2</v>
      </c>
      <c r="V102" cm="1">
        <f t="array" ref="V102">IF(OR(H102="",Q102=""),
   0,
   SUM(--ISNUMBER(MATCH(TRIM(_xlfn.TEXTSPLIT(H102,";")),TRIM(_xlfn.TEXTSPLIT(Q102,";")),0)))
)</f>
        <v>1</v>
      </c>
      <c r="W102">
        <f t="shared" si="7"/>
        <v>2</v>
      </c>
    </row>
    <row r="103" spans="1:23" ht="13" x14ac:dyDescent="0.15">
      <c r="A103" s="1" t="s">
        <v>218</v>
      </c>
      <c r="B103" s="1">
        <v>85</v>
      </c>
      <c r="C103" s="1" t="s">
        <v>278</v>
      </c>
      <c r="D103" s="1" t="s">
        <v>279</v>
      </c>
      <c r="F103" s="1" t="s">
        <v>2</v>
      </c>
      <c r="G103" s="1">
        <v>2</v>
      </c>
      <c r="H103" s="1" t="s">
        <v>280</v>
      </c>
      <c r="I103" s="2">
        <v>46086.191695063462</v>
      </c>
      <c r="J103" s="1" t="s">
        <v>218</v>
      </c>
      <c r="K103" s="1">
        <v>85</v>
      </c>
      <c r="L103" s="1" t="s">
        <v>579</v>
      </c>
      <c r="M103" s="1" t="s">
        <v>580</v>
      </c>
      <c r="O103" s="1" t="s">
        <v>2</v>
      </c>
      <c r="P103" s="1">
        <v>12</v>
      </c>
      <c r="Q103" s="1" t="s">
        <v>377</v>
      </c>
      <c r="R103" s="2">
        <v>46069.431876327682</v>
      </c>
      <c r="S103">
        <f t="shared" si="4"/>
        <v>0</v>
      </c>
      <c r="T103">
        <f t="shared" si="5"/>
        <v>10</v>
      </c>
      <c r="U103">
        <f t="shared" si="6"/>
        <v>13</v>
      </c>
      <c r="V103" cm="1">
        <f t="array" ref="V103">IF(OR(H103="",Q103=""),
   0,
   SUM(--ISNUMBER(MATCH(TRIM(_xlfn.TEXTSPLIT(H103,";")),TRIM(_xlfn.TEXTSPLIT(Q103,";")),0)))
)</f>
        <v>1</v>
      </c>
      <c r="W103">
        <f t="shared" si="7"/>
        <v>13</v>
      </c>
    </row>
    <row r="104" spans="1:23" ht="13" x14ac:dyDescent="0.15">
      <c r="A104" s="1" t="s">
        <v>218</v>
      </c>
      <c r="B104" s="1">
        <v>86</v>
      </c>
      <c r="C104" s="1" t="s">
        <v>281</v>
      </c>
      <c r="D104" s="1" t="s">
        <v>282</v>
      </c>
      <c r="F104" s="1" t="s">
        <v>2</v>
      </c>
      <c r="G104" s="1">
        <v>1</v>
      </c>
      <c r="H104" s="1" t="s">
        <v>283</v>
      </c>
      <c r="I104" s="2">
        <v>46086.192410569674</v>
      </c>
      <c r="J104" s="1" t="s">
        <v>218</v>
      </c>
      <c r="K104" s="1">
        <v>86</v>
      </c>
      <c r="L104" s="1" t="s">
        <v>581</v>
      </c>
      <c r="M104" s="1" t="s">
        <v>582</v>
      </c>
      <c r="O104" s="1" t="s">
        <v>37</v>
      </c>
      <c r="P104" s="1">
        <v>0</v>
      </c>
      <c r="R104" s="2">
        <v>46069.433699668807</v>
      </c>
      <c r="S104">
        <f t="shared" si="4"/>
        <v>1</v>
      </c>
      <c r="T104">
        <f t="shared" si="5"/>
        <v>1</v>
      </c>
      <c r="U104">
        <f t="shared" si="6"/>
        <v>1</v>
      </c>
      <c r="V104" cm="1">
        <f t="array" ref="V104">IF(OR(H104="",Q104=""),
   0,
   SUM(--ISNUMBER(MATCH(TRIM(_xlfn.TEXTSPLIT(H104,";")),TRIM(_xlfn.TEXTSPLIT(Q104,";")),0)))
)</f>
        <v>0</v>
      </c>
      <c r="W104">
        <f t="shared" si="7"/>
        <v>1</v>
      </c>
    </row>
    <row r="105" spans="1:23" ht="13" x14ac:dyDescent="0.15">
      <c r="A105" s="1" t="s">
        <v>218</v>
      </c>
      <c r="B105" s="1">
        <v>88</v>
      </c>
      <c r="C105" s="1" t="s">
        <v>284</v>
      </c>
      <c r="D105" s="1" t="s">
        <v>285</v>
      </c>
      <c r="F105" s="1" t="s">
        <v>2</v>
      </c>
      <c r="G105" s="1">
        <v>1</v>
      </c>
      <c r="H105" s="1" t="s">
        <v>286</v>
      </c>
      <c r="I105" s="2">
        <v>46086.194577167938</v>
      </c>
      <c r="J105" s="1" t="s">
        <v>218</v>
      </c>
      <c r="K105" s="1">
        <v>88</v>
      </c>
      <c r="L105" s="1" t="s">
        <v>583</v>
      </c>
      <c r="M105" s="1" t="s">
        <v>584</v>
      </c>
      <c r="O105" s="1" t="s">
        <v>37</v>
      </c>
      <c r="P105" s="1">
        <v>0</v>
      </c>
      <c r="R105" s="2">
        <v>46069.434468008541</v>
      </c>
      <c r="S105">
        <f t="shared" si="4"/>
        <v>1</v>
      </c>
      <c r="T105">
        <f t="shared" si="5"/>
        <v>1</v>
      </c>
      <c r="U105">
        <f t="shared" si="6"/>
        <v>1</v>
      </c>
      <c r="V105" cm="1">
        <f t="array" ref="V105">IF(OR(H105="",Q105=""),
   0,
   SUM(--ISNUMBER(MATCH(TRIM(_xlfn.TEXTSPLIT(H105,";")),TRIM(_xlfn.TEXTSPLIT(Q105,";")),0)))
)</f>
        <v>0</v>
      </c>
      <c r="W105">
        <f t="shared" si="7"/>
        <v>1</v>
      </c>
    </row>
    <row r="106" spans="1:23" ht="13" x14ac:dyDescent="0.15">
      <c r="A106" s="1" t="s">
        <v>218</v>
      </c>
      <c r="B106" s="1">
        <v>89</v>
      </c>
      <c r="C106" s="1" t="s">
        <v>287</v>
      </c>
      <c r="D106" s="1" t="s">
        <v>288</v>
      </c>
      <c r="F106" s="1" t="s">
        <v>2</v>
      </c>
      <c r="G106" s="1">
        <v>4</v>
      </c>
      <c r="H106" s="1" t="s">
        <v>289</v>
      </c>
      <c r="I106" s="2">
        <v>46086.196093292521</v>
      </c>
      <c r="J106" s="1" t="s">
        <v>218</v>
      </c>
      <c r="K106" s="1">
        <v>89</v>
      </c>
      <c r="L106" s="1" t="s">
        <v>585</v>
      </c>
      <c r="M106" s="1" t="s">
        <v>586</v>
      </c>
      <c r="O106" s="1" t="s">
        <v>2</v>
      </c>
      <c r="P106" s="1">
        <v>0</v>
      </c>
      <c r="R106" s="2">
        <v>46069.436115067059</v>
      </c>
      <c r="S106">
        <f t="shared" si="4"/>
        <v>0</v>
      </c>
      <c r="T106">
        <f t="shared" si="5"/>
        <v>4</v>
      </c>
      <c r="U106">
        <f t="shared" si="6"/>
        <v>4</v>
      </c>
      <c r="V106" cm="1">
        <f t="array" ref="V106">IF(OR(H106="",Q106=""),
   0,
   SUM(--ISNUMBER(MATCH(TRIM(_xlfn.TEXTSPLIT(H106,";")),TRIM(_xlfn.TEXTSPLIT(Q106,";")),0)))
)</f>
        <v>0</v>
      </c>
      <c r="W106">
        <f t="shared" si="7"/>
        <v>4</v>
      </c>
    </row>
    <row r="107" spans="1:23" ht="13" x14ac:dyDescent="0.15">
      <c r="A107" s="1" t="s">
        <v>218</v>
      </c>
      <c r="B107" s="1">
        <v>93</v>
      </c>
      <c r="C107" s="1" t="s">
        <v>290</v>
      </c>
      <c r="D107" s="1" t="s">
        <v>291</v>
      </c>
      <c r="F107" s="1" t="s">
        <v>2</v>
      </c>
      <c r="G107" s="1">
        <v>1</v>
      </c>
      <c r="H107" s="1" t="s">
        <v>292</v>
      </c>
      <c r="I107" s="2">
        <v>46086.197271144454</v>
      </c>
      <c r="J107" s="1" t="s">
        <v>218</v>
      </c>
      <c r="K107" s="1">
        <v>93</v>
      </c>
      <c r="L107" s="1" t="s">
        <v>587</v>
      </c>
      <c r="M107" s="1" t="s">
        <v>588</v>
      </c>
      <c r="O107" s="1" t="s">
        <v>2</v>
      </c>
      <c r="P107" s="1">
        <v>1</v>
      </c>
      <c r="Q107" s="1" t="s">
        <v>292</v>
      </c>
      <c r="R107" s="2">
        <v>46069.438075929887</v>
      </c>
      <c r="S107">
        <f t="shared" si="4"/>
        <v>0</v>
      </c>
      <c r="T107">
        <f t="shared" si="5"/>
        <v>0</v>
      </c>
      <c r="U107">
        <f t="shared" si="6"/>
        <v>1</v>
      </c>
      <c r="V107" cm="1">
        <f t="array" ref="V107">IF(OR(H107="",Q107=""),
   0,
   SUM(--ISNUMBER(MATCH(TRIM(_xlfn.TEXTSPLIT(H107,";")),TRIM(_xlfn.TEXTSPLIT(Q107,";")),0)))
)</f>
        <v>1</v>
      </c>
      <c r="W107">
        <f t="shared" si="7"/>
        <v>1</v>
      </c>
    </row>
    <row r="108" spans="1:23" ht="13" x14ac:dyDescent="0.15">
      <c r="A108" s="1" t="s">
        <v>293</v>
      </c>
      <c r="B108" s="1">
        <v>2</v>
      </c>
      <c r="C108" s="1" t="s">
        <v>307</v>
      </c>
      <c r="D108" s="1" t="s">
        <v>308</v>
      </c>
      <c r="F108" s="1" t="s">
        <v>2</v>
      </c>
      <c r="G108" s="1">
        <v>1</v>
      </c>
      <c r="H108" s="1" t="s">
        <v>309</v>
      </c>
      <c r="I108" s="2">
        <v>46086.2060654858</v>
      </c>
      <c r="J108" s="1" t="s">
        <v>293</v>
      </c>
      <c r="K108" s="1">
        <v>2</v>
      </c>
      <c r="L108" s="1" t="s">
        <v>589</v>
      </c>
      <c r="M108" s="1" t="s">
        <v>590</v>
      </c>
      <c r="O108" s="1" t="s">
        <v>37</v>
      </c>
      <c r="P108" s="1">
        <v>0</v>
      </c>
      <c r="R108" s="2">
        <v>46069.439389168794</v>
      </c>
      <c r="S108">
        <f t="shared" si="4"/>
        <v>1</v>
      </c>
      <c r="T108">
        <f t="shared" si="5"/>
        <v>1</v>
      </c>
      <c r="U108">
        <f t="shared" si="6"/>
        <v>1</v>
      </c>
      <c r="V108" cm="1">
        <f t="array" ref="V108">IF(OR(H108="",Q108=""),
   0,
   SUM(--ISNUMBER(MATCH(TRIM(_xlfn.TEXTSPLIT(H108,";")),TRIM(_xlfn.TEXTSPLIT(Q108,";")),0)))
)</f>
        <v>0</v>
      </c>
      <c r="W108">
        <f t="shared" si="7"/>
        <v>1</v>
      </c>
    </row>
    <row r="109" spans="1:23" ht="13" x14ac:dyDescent="0.15">
      <c r="A109" s="1" t="s">
        <v>293</v>
      </c>
      <c r="B109" s="1">
        <v>3</v>
      </c>
      <c r="C109" s="1" t="s">
        <v>316</v>
      </c>
      <c r="D109" s="1" t="s">
        <v>317</v>
      </c>
      <c r="F109" s="1" t="s">
        <v>2</v>
      </c>
      <c r="G109" s="1">
        <v>5</v>
      </c>
      <c r="H109" s="1" t="s">
        <v>318</v>
      </c>
      <c r="I109" s="2">
        <v>46086.209845197351</v>
      </c>
      <c r="J109" s="1" t="s">
        <v>293</v>
      </c>
      <c r="K109" s="1">
        <v>3</v>
      </c>
      <c r="L109" s="1" t="s">
        <v>591</v>
      </c>
      <c r="M109" s="1" t="s">
        <v>592</v>
      </c>
      <c r="O109" s="1" t="s">
        <v>37</v>
      </c>
      <c r="P109" s="1">
        <v>0</v>
      </c>
      <c r="R109" s="2">
        <v>46069.440890764374</v>
      </c>
      <c r="S109">
        <f t="shared" si="4"/>
        <v>1</v>
      </c>
      <c r="T109">
        <f t="shared" si="5"/>
        <v>5</v>
      </c>
      <c r="U109">
        <f t="shared" si="6"/>
        <v>5</v>
      </c>
      <c r="V109" cm="1">
        <f t="array" ref="V109">IF(OR(H109="",Q109=""),
   0,
   SUM(--ISNUMBER(MATCH(TRIM(_xlfn.TEXTSPLIT(H109,";")),TRIM(_xlfn.TEXTSPLIT(Q109,";")),0)))
)</f>
        <v>0</v>
      </c>
      <c r="W109">
        <f t="shared" si="7"/>
        <v>5</v>
      </c>
    </row>
    <row r="110" spans="1:23" ht="13" x14ac:dyDescent="0.15">
      <c r="A110" s="1" t="s">
        <v>293</v>
      </c>
      <c r="B110" s="1">
        <v>6</v>
      </c>
      <c r="C110" s="1" t="s">
        <v>319</v>
      </c>
      <c r="D110" s="1" t="s">
        <v>320</v>
      </c>
      <c r="F110" s="1" t="s">
        <v>2</v>
      </c>
      <c r="G110" s="1">
        <v>1</v>
      </c>
      <c r="H110" s="1" t="s">
        <v>321</v>
      </c>
      <c r="I110" s="2">
        <v>46086.212163426469</v>
      </c>
      <c r="J110" s="1" t="s">
        <v>293</v>
      </c>
      <c r="K110" s="1">
        <v>6</v>
      </c>
      <c r="L110" s="1" t="s">
        <v>593</v>
      </c>
      <c r="M110" s="1" t="s">
        <v>594</v>
      </c>
      <c r="O110" s="1" t="s">
        <v>2</v>
      </c>
      <c r="P110" s="1">
        <v>1</v>
      </c>
      <c r="Q110" s="1" t="s">
        <v>321</v>
      </c>
      <c r="R110" s="2">
        <v>46069.442586133082</v>
      </c>
      <c r="S110">
        <f t="shared" si="4"/>
        <v>0</v>
      </c>
      <c r="T110">
        <f t="shared" si="5"/>
        <v>0</v>
      </c>
      <c r="U110">
        <f t="shared" si="6"/>
        <v>1</v>
      </c>
      <c r="V110" cm="1">
        <f t="array" ref="V110">IF(OR(H110="",Q110=""),
   0,
   SUM(--ISNUMBER(MATCH(TRIM(_xlfn.TEXTSPLIT(H110,";")),TRIM(_xlfn.TEXTSPLIT(Q110,";")),0)))
)</f>
        <v>1</v>
      </c>
      <c r="W110">
        <f t="shared" si="7"/>
        <v>1</v>
      </c>
    </row>
    <row r="111" spans="1:23" ht="13" x14ac:dyDescent="0.15">
      <c r="A111" s="1" t="s">
        <v>293</v>
      </c>
      <c r="B111" s="1">
        <v>7</v>
      </c>
      <c r="C111" s="1" t="s">
        <v>322</v>
      </c>
      <c r="D111" s="1" t="s">
        <v>323</v>
      </c>
      <c r="F111" s="1" t="s">
        <v>37</v>
      </c>
      <c r="G111" s="1">
        <v>0</v>
      </c>
      <c r="I111" s="2">
        <v>46086.214278725449</v>
      </c>
      <c r="J111" s="1" t="s">
        <v>293</v>
      </c>
      <c r="K111" s="1">
        <v>7</v>
      </c>
      <c r="L111" s="1" t="s">
        <v>595</v>
      </c>
      <c r="M111" s="1" t="s">
        <v>596</v>
      </c>
      <c r="O111" s="1" t="s">
        <v>2</v>
      </c>
      <c r="P111" s="1">
        <v>0</v>
      </c>
      <c r="R111" s="2">
        <v>46069.444594373032</v>
      </c>
      <c r="S111">
        <f t="shared" si="4"/>
        <v>1</v>
      </c>
      <c r="T111">
        <f t="shared" si="5"/>
        <v>0</v>
      </c>
      <c r="U111">
        <f t="shared" si="6"/>
        <v>0</v>
      </c>
      <c r="V111" cm="1">
        <f t="array" ref="V111">IF(OR(H111="",Q111=""),
   0,
   SUM(--ISNUMBER(MATCH(TRIM(_xlfn.TEXTSPLIT(H111,";")),TRIM(_xlfn.TEXTSPLIT(Q111,";")),0)))
)</f>
        <v>0</v>
      </c>
      <c r="W111">
        <f t="shared" si="7"/>
        <v>0</v>
      </c>
    </row>
    <row r="112" spans="1:23" ht="13" x14ac:dyDescent="0.15">
      <c r="A112" s="1" t="s">
        <v>293</v>
      </c>
      <c r="B112" s="1">
        <v>8</v>
      </c>
      <c r="C112" s="1" t="s">
        <v>324</v>
      </c>
      <c r="D112" s="1" t="s">
        <v>325</v>
      </c>
      <c r="F112" s="1" t="s">
        <v>2</v>
      </c>
      <c r="G112" s="1">
        <v>1</v>
      </c>
      <c r="H112" s="1" t="s">
        <v>326</v>
      </c>
      <c r="I112" s="2">
        <v>46086.215852078276</v>
      </c>
      <c r="J112" s="1" t="s">
        <v>293</v>
      </c>
      <c r="K112" s="1">
        <v>8</v>
      </c>
      <c r="L112" s="1" t="s">
        <v>597</v>
      </c>
      <c r="M112" s="1" t="s">
        <v>598</v>
      </c>
      <c r="O112" s="1" t="s">
        <v>2</v>
      </c>
      <c r="P112" s="1">
        <v>1</v>
      </c>
      <c r="Q112" s="1" t="s">
        <v>326</v>
      </c>
      <c r="R112" s="2">
        <v>46069.4462313888</v>
      </c>
      <c r="S112">
        <f t="shared" si="4"/>
        <v>0</v>
      </c>
      <c r="T112">
        <f t="shared" si="5"/>
        <v>0</v>
      </c>
      <c r="U112">
        <f t="shared" si="6"/>
        <v>1</v>
      </c>
      <c r="V112" cm="1">
        <f t="array" ref="V112">IF(OR(H112="",Q112=""),
   0,
   SUM(--ISNUMBER(MATCH(TRIM(_xlfn.TEXTSPLIT(H112,";")),TRIM(_xlfn.TEXTSPLIT(Q112,";")),0)))
)</f>
        <v>1</v>
      </c>
      <c r="W112">
        <f t="shared" si="7"/>
        <v>1</v>
      </c>
    </row>
    <row r="113" spans="1:23" ht="13" x14ac:dyDescent="0.15">
      <c r="A113" s="1" t="s">
        <v>293</v>
      </c>
      <c r="B113" s="1">
        <v>9</v>
      </c>
      <c r="C113" s="1" t="s">
        <v>327</v>
      </c>
      <c r="D113" s="1" t="s">
        <v>328</v>
      </c>
      <c r="F113" s="1" t="s">
        <v>2</v>
      </c>
      <c r="G113" s="1">
        <v>3</v>
      </c>
      <c r="H113" s="1" t="s">
        <v>329</v>
      </c>
      <c r="I113" s="2">
        <v>46086.218112604722</v>
      </c>
      <c r="J113" s="1" t="s">
        <v>293</v>
      </c>
      <c r="K113" s="1">
        <v>9</v>
      </c>
      <c r="L113" s="1" t="s">
        <v>599</v>
      </c>
      <c r="M113" s="1" t="s">
        <v>600</v>
      </c>
      <c r="O113" s="1" t="s">
        <v>2</v>
      </c>
      <c r="P113" s="1">
        <v>1</v>
      </c>
      <c r="Q113" s="1" t="s">
        <v>326</v>
      </c>
      <c r="R113" s="2">
        <v>46069.448527304361</v>
      </c>
      <c r="S113">
        <f t="shared" si="4"/>
        <v>0</v>
      </c>
      <c r="T113">
        <f t="shared" si="5"/>
        <v>2</v>
      </c>
      <c r="U113">
        <f t="shared" si="6"/>
        <v>3</v>
      </c>
      <c r="V113" cm="1">
        <f t="array" ref="V113">IF(OR(H113="",Q113=""),
   0,
   SUM(--ISNUMBER(MATCH(TRIM(_xlfn.TEXTSPLIT(H113,";")),TRIM(_xlfn.TEXTSPLIT(Q113,";")),0)))
)</f>
        <v>1</v>
      </c>
      <c r="W113">
        <f t="shared" si="7"/>
        <v>3</v>
      </c>
    </row>
    <row r="114" spans="1:23" ht="13" x14ac:dyDescent="0.15">
      <c r="A114" s="1" t="s">
        <v>293</v>
      </c>
      <c r="B114" s="1">
        <v>10</v>
      </c>
      <c r="C114" s="1" t="s">
        <v>294</v>
      </c>
      <c r="D114" s="1" t="s">
        <v>295</v>
      </c>
      <c r="F114" s="1" t="s">
        <v>2</v>
      </c>
      <c r="G114" s="1">
        <v>1</v>
      </c>
      <c r="H114" s="1" t="s">
        <v>296</v>
      </c>
      <c r="I114" s="2">
        <v>46086.199222763957</v>
      </c>
      <c r="J114" s="1" t="s">
        <v>293</v>
      </c>
      <c r="K114" s="1">
        <v>10</v>
      </c>
      <c r="L114" s="1" t="s">
        <v>601</v>
      </c>
      <c r="M114" s="1" t="s">
        <v>602</v>
      </c>
      <c r="O114" s="1" t="s">
        <v>2</v>
      </c>
      <c r="P114" s="1">
        <v>1</v>
      </c>
      <c r="Q114" s="1" t="s">
        <v>296</v>
      </c>
      <c r="R114" s="2">
        <v>46069.451314533959</v>
      </c>
      <c r="S114">
        <f t="shared" si="4"/>
        <v>0</v>
      </c>
      <c r="T114">
        <f t="shared" si="5"/>
        <v>0</v>
      </c>
      <c r="U114">
        <f t="shared" si="6"/>
        <v>1</v>
      </c>
      <c r="V114" cm="1">
        <f t="array" ref="V114">IF(OR(H114="",Q114=""),
   0,
   SUM(--ISNUMBER(MATCH(TRIM(_xlfn.TEXTSPLIT(H114,";")),TRIM(_xlfn.TEXTSPLIT(Q114,";")),0)))
)</f>
        <v>1</v>
      </c>
      <c r="W114">
        <f t="shared" si="7"/>
        <v>1</v>
      </c>
    </row>
    <row r="115" spans="1:23" ht="13" x14ac:dyDescent="0.15">
      <c r="A115" s="1" t="s">
        <v>293</v>
      </c>
      <c r="B115" s="1">
        <v>11</v>
      </c>
      <c r="C115" s="1" t="s">
        <v>297</v>
      </c>
      <c r="D115" s="1" t="s">
        <v>298</v>
      </c>
      <c r="F115" s="1" t="s">
        <v>2</v>
      </c>
      <c r="G115" s="1">
        <v>4</v>
      </c>
      <c r="H115" s="1" t="s">
        <v>299</v>
      </c>
      <c r="I115" s="2">
        <v>46086.201016232641</v>
      </c>
      <c r="J115" s="1" t="s">
        <v>293</v>
      </c>
      <c r="K115" s="1">
        <v>11</v>
      </c>
      <c r="L115" s="1" t="s">
        <v>603</v>
      </c>
      <c r="M115" s="1" t="s">
        <v>604</v>
      </c>
      <c r="O115" s="1" t="s">
        <v>2</v>
      </c>
      <c r="P115" s="1">
        <v>4</v>
      </c>
      <c r="Q115" s="1" t="s">
        <v>299</v>
      </c>
      <c r="R115" s="2">
        <v>46069.453493401044</v>
      </c>
      <c r="S115">
        <f t="shared" si="4"/>
        <v>0</v>
      </c>
      <c r="T115">
        <f t="shared" si="5"/>
        <v>0</v>
      </c>
      <c r="U115">
        <f t="shared" si="6"/>
        <v>4</v>
      </c>
      <c r="V115" cm="1">
        <f t="array" ref="V115">IF(OR(H115="",Q115=""),
   0,
   SUM(--ISNUMBER(MATCH(TRIM(_xlfn.TEXTSPLIT(H115,";")),TRIM(_xlfn.TEXTSPLIT(Q115,";")),0)))
)</f>
        <v>4</v>
      </c>
      <c r="W115">
        <f t="shared" si="7"/>
        <v>1</v>
      </c>
    </row>
    <row r="116" spans="1:23" ht="13" x14ac:dyDescent="0.15">
      <c r="A116" s="1" t="s">
        <v>293</v>
      </c>
      <c r="B116" s="1">
        <v>15</v>
      </c>
      <c r="C116" s="1" t="s">
        <v>300</v>
      </c>
      <c r="D116" s="1" t="s">
        <v>301</v>
      </c>
      <c r="F116" s="1" t="s">
        <v>37</v>
      </c>
      <c r="G116" s="1">
        <v>0</v>
      </c>
      <c r="I116" s="2">
        <v>46086.202186148075</v>
      </c>
      <c r="J116" s="1" t="s">
        <v>293</v>
      </c>
      <c r="K116" s="1">
        <v>15</v>
      </c>
      <c r="L116" s="1" t="s">
        <v>605</v>
      </c>
      <c r="M116" s="1" t="s">
        <v>606</v>
      </c>
      <c r="O116" s="1" t="s">
        <v>2</v>
      </c>
      <c r="P116" s="1">
        <v>0</v>
      </c>
      <c r="R116" s="2">
        <v>46069.454301458543</v>
      </c>
      <c r="S116">
        <f t="shared" si="4"/>
        <v>1</v>
      </c>
      <c r="T116">
        <f t="shared" si="5"/>
        <v>0</v>
      </c>
      <c r="U116">
        <f t="shared" si="6"/>
        <v>0</v>
      </c>
      <c r="V116" cm="1">
        <f t="array" ref="V116">IF(OR(H116="",Q116=""),
   0,
   SUM(--ISNUMBER(MATCH(TRIM(_xlfn.TEXTSPLIT(H116,";")),TRIM(_xlfn.TEXTSPLIT(Q116,";")),0)))
)</f>
        <v>0</v>
      </c>
      <c r="W116">
        <f t="shared" si="7"/>
        <v>0</v>
      </c>
    </row>
    <row r="117" spans="1:23" ht="13" x14ac:dyDescent="0.15">
      <c r="A117" s="1" t="s">
        <v>293</v>
      </c>
      <c r="B117" s="1">
        <v>17</v>
      </c>
      <c r="C117" s="1" t="s">
        <v>302</v>
      </c>
      <c r="D117" s="1" t="s">
        <v>303</v>
      </c>
      <c r="F117" s="1" t="s">
        <v>2</v>
      </c>
      <c r="G117" s="1">
        <v>1</v>
      </c>
      <c r="H117" s="1" t="s">
        <v>304</v>
      </c>
      <c r="I117" s="2">
        <v>46086.204337071387</v>
      </c>
      <c r="J117" s="1" t="s">
        <v>293</v>
      </c>
      <c r="K117" s="1">
        <v>17</v>
      </c>
      <c r="L117" s="1" t="s">
        <v>607</v>
      </c>
      <c r="M117" s="1" t="s">
        <v>608</v>
      </c>
      <c r="O117" s="1" t="s">
        <v>2</v>
      </c>
      <c r="P117" s="1">
        <v>0</v>
      </c>
      <c r="R117" s="2">
        <v>46069.456351515124</v>
      </c>
      <c r="S117">
        <f t="shared" si="4"/>
        <v>0</v>
      </c>
      <c r="T117">
        <f t="shared" si="5"/>
        <v>1</v>
      </c>
      <c r="U117">
        <f t="shared" si="6"/>
        <v>1</v>
      </c>
      <c r="V117" cm="1">
        <f t="array" ref="V117">IF(OR(H117="",Q117=""),
   0,
   SUM(--ISNUMBER(MATCH(TRIM(_xlfn.TEXTSPLIT(H117,";")),TRIM(_xlfn.TEXTSPLIT(Q117,";")),0)))
)</f>
        <v>0</v>
      </c>
      <c r="W117">
        <f t="shared" si="7"/>
        <v>1</v>
      </c>
    </row>
    <row r="118" spans="1:23" ht="13" x14ac:dyDescent="0.15">
      <c r="A118" s="1" t="s">
        <v>293</v>
      </c>
      <c r="B118" s="1">
        <v>18</v>
      </c>
      <c r="C118" s="1" t="s">
        <v>305</v>
      </c>
      <c r="D118" s="1" t="s">
        <v>306</v>
      </c>
      <c r="F118" s="1" t="s">
        <v>37</v>
      </c>
      <c r="G118" s="1">
        <v>0</v>
      </c>
      <c r="I118" s="2">
        <v>46086.205276146247</v>
      </c>
      <c r="J118" s="1" t="s">
        <v>293</v>
      </c>
      <c r="K118" s="1">
        <v>18</v>
      </c>
      <c r="L118" s="1" t="s">
        <v>609</v>
      </c>
      <c r="M118" s="1" t="s">
        <v>610</v>
      </c>
      <c r="O118" s="1" t="s">
        <v>37</v>
      </c>
      <c r="P118" s="1">
        <v>0</v>
      </c>
      <c r="R118" s="2">
        <v>46069.457837284121</v>
      </c>
      <c r="S118">
        <f t="shared" si="4"/>
        <v>0</v>
      </c>
      <c r="T118">
        <f t="shared" si="5"/>
        <v>0</v>
      </c>
      <c r="U118">
        <f t="shared" si="6"/>
        <v>0</v>
      </c>
      <c r="V118" cm="1">
        <f t="array" ref="V118">IF(OR(H118="",Q118=""),
   0,
   SUM(--ISNUMBER(MATCH(TRIM(_xlfn.TEXTSPLIT(H118,";")),TRIM(_xlfn.TEXTSPLIT(Q118,";")),0)))
)</f>
        <v>0</v>
      </c>
      <c r="W118">
        <f t="shared" si="7"/>
        <v>0</v>
      </c>
    </row>
    <row r="119" spans="1:23" ht="13" x14ac:dyDescent="0.15">
      <c r="A119" s="1" t="s">
        <v>293</v>
      </c>
      <c r="B119" s="1">
        <v>20</v>
      </c>
      <c r="C119" s="1" t="s">
        <v>310</v>
      </c>
      <c r="D119" s="1" t="s">
        <v>311</v>
      </c>
      <c r="F119" s="1" t="s">
        <v>2</v>
      </c>
      <c r="G119" s="1">
        <v>1</v>
      </c>
      <c r="H119" s="1" t="s">
        <v>312</v>
      </c>
      <c r="I119" s="2">
        <v>46086.207661755267</v>
      </c>
      <c r="J119" s="1" t="s">
        <v>293</v>
      </c>
      <c r="K119" s="1">
        <v>20</v>
      </c>
      <c r="L119" s="1" t="s">
        <v>611</v>
      </c>
      <c r="M119" s="1" t="s">
        <v>612</v>
      </c>
      <c r="O119" s="1" t="s">
        <v>2</v>
      </c>
      <c r="P119" s="1">
        <v>0</v>
      </c>
      <c r="R119" s="2">
        <v>46069.459541089789</v>
      </c>
      <c r="S119">
        <f t="shared" si="4"/>
        <v>0</v>
      </c>
      <c r="T119">
        <f t="shared" si="5"/>
        <v>1</v>
      </c>
      <c r="U119">
        <f t="shared" si="6"/>
        <v>1</v>
      </c>
      <c r="V119" cm="1">
        <f t="array" ref="V119">IF(OR(H119="",Q119=""),
   0,
   SUM(--ISNUMBER(MATCH(TRIM(_xlfn.TEXTSPLIT(H119,";")),TRIM(_xlfn.TEXTSPLIT(Q119,";")),0)))
)</f>
        <v>0</v>
      </c>
      <c r="W119">
        <f t="shared" si="7"/>
        <v>1</v>
      </c>
    </row>
    <row r="120" spans="1:23" ht="13" x14ac:dyDescent="0.15">
      <c r="A120" s="1" t="s">
        <v>293</v>
      </c>
      <c r="B120" s="1">
        <v>21</v>
      </c>
      <c r="C120" s="1" t="s">
        <v>313</v>
      </c>
      <c r="D120" s="1" t="s">
        <v>314</v>
      </c>
      <c r="F120" s="1" t="s">
        <v>2</v>
      </c>
      <c r="G120" s="1">
        <v>2</v>
      </c>
      <c r="H120" s="1" t="s">
        <v>315</v>
      </c>
      <c r="I120" s="2">
        <v>46086.208951508219</v>
      </c>
      <c r="J120" s="1" t="s">
        <v>293</v>
      </c>
      <c r="K120" s="1">
        <v>21</v>
      </c>
      <c r="L120" s="1" t="s">
        <v>613</v>
      </c>
      <c r="M120" s="1" t="s">
        <v>614</v>
      </c>
      <c r="O120" s="1" t="s">
        <v>2</v>
      </c>
      <c r="P120" s="1">
        <v>2</v>
      </c>
      <c r="Q120" s="1" t="s">
        <v>315</v>
      </c>
      <c r="R120" s="2">
        <v>46069.460686787977</v>
      </c>
      <c r="S120">
        <f t="shared" si="4"/>
        <v>0</v>
      </c>
      <c r="T120">
        <f t="shared" si="5"/>
        <v>0</v>
      </c>
      <c r="U120">
        <f t="shared" si="6"/>
        <v>2</v>
      </c>
      <c r="V120" cm="1">
        <f t="array" ref="V120">IF(OR(H120="",Q120=""),
   0,
   SUM(--ISNUMBER(MATCH(TRIM(_xlfn.TEXTSPLIT(H120,";")),TRIM(_xlfn.TEXTSPLIT(Q120,";")),0)))
)</f>
        <v>2</v>
      </c>
      <c r="W120">
        <f t="shared" si="7"/>
        <v>1</v>
      </c>
    </row>
    <row r="121" spans="1:23" ht="13" x14ac:dyDescent="0.15">
      <c r="A121" s="1" t="s">
        <v>330</v>
      </c>
      <c r="B121" s="1">
        <v>17</v>
      </c>
      <c r="C121" s="1" t="s">
        <v>331</v>
      </c>
      <c r="D121" s="1" t="s">
        <v>332</v>
      </c>
      <c r="F121" s="1" t="s">
        <v>2</v>
      </c>
      <c r="G121" s="1">
        <v>0</v>
      </c>
      <c r="I121" s="2">
        <v>46086.220825158009</v>
      </c>
      <c r="J121" s="1" t="s">
        <v>330</v>
      </c>
      <c r="K121" s="1">
        <v>17</v>
      </c>
      <c r="L121" s="1" t="s">
        <v>615</v>
      </c>
      <c r="M121" s="1" t="s">
        <v>616</v>
      </c>
      <c r="O121" s="1" t="s">
        <v>2</v>
      </c>
      <c r="P121" s="1">
        <v>0</v>
      </c>
      <c r="R121" s="2">
        <v>46069.46796394619</v>
      </c>
      <c r="S121">
        <f t="shared" si="4"/>
        <v>0</v>
      </c>
      <c r="T121">
        <f t="shared" si="5"/>
        <v>0</v>
      </c>
      <c r="U121">
        <f t="shared" si="6"/>
        <v>0</v>
      </c>
      <c r="V121" cm="1">
        <f t="array" ref="V121">IF(OR(H121="",Q121=""),
   0,
   SUM(--ISNUMBER(MATCH(TRIM(_xlfn.TEXTSPLIT(H121,";")),TRIM(_xlfn.TEXTSPLIT(Q121,";")),0)))
)</f>
        <v>0</v>
      </c>
      <c r="W121">
        <f t="shared" si="7"/>
        <v>0</v>
      </c>
    </row>
    <row r="122" spans="1:23" ht="13" x14ac:dyDescent="0.15">
      <c r="A122" s="1" t="s">
        <v>330</v>
      </c>
      <c r="B122" s="1">
        <v>19</v>
      </c>
      <c r="C122" s="1" t="s">
        <v>333</v>
      </c>
      <c r="D122" s="1" t="s">
        <v>334</v>
      </c>
      <c r="F122" s="1" t="s">
        <v>2</v>
      </c>
      <c r="G122" s="1">
        <v>1</v>
      </c>
      <c r="H122" s="1" t="s">
        <v>335</v>
      </c>
      <c r="I122" s="2">
        <v>46086.222519991599</v>
      </c>
      <c r="J122" s="1" t="s">
        <v>330</v>
      </c>
      <c r="K122" s="1">
        <v>19</v>
      </c>
      <c r="L122" s="1" t="s">
        <v>617</v>
      </c>
      <c r="M122" s="1" t="s">
        <v>618</v>
      </c>
      <c r="O122" s="1" t="s">
        <v>2</v>
      </c>
      <c r="P122" s="1">
        <v>1</v>
      </c>
      <c r="Q122" s="1" t="s">
        <v>335</v>
      </c>
      <c r="R122" s="2">
        <v>46069.469560500351</v>
      </c>
      <c r="S122">
        <f t="shared" si="4"/>
        <v>0</v>
      </c>
      <c r="T122">
        <f t="shared" si="5"/>
        <v>0</v>
      </c>
      <c r="U122">
        <f t="shared" si="6"/>
        <v>1</v>
      </c>
      <c r="V122" cm="1">
        <f t="array" ref="V122">IF(OR(H122="",Q122=""),
   0,
   SUM(--ISNUMBER(MATCH(TRIM(_xlfn.TEXTSPLIT(H122,";")),TRIM(_xlfn.TEXTSPLIT(Q122,";")),0)))
)</f>
        <v>1</v>
      </c>
      <c r="W122">
        <f t="shared" si="7"/>
        <v>1</v>
      </c>
    </row>
    <row r="123" spans="1:23" ht="15.75" customHeight="1" x14ac:dyDescent="0.15">
      <c r="A123" s="1" t="s">
        <v>330</v>
      </c>
      <c r="B123" s="1">
        <v>28</v>
      </c>
      <c r="C123" s="1" t="s">
        <v>336</v>
      </c>
      <c r="D123" s="1" t="s">
        <v>337</v>
      </c>
      <c r="F123" s="1" t="s">
        <v>2</v>
      </c>
      <c r="G123" s="1">
        <v>1</v>
      </c>
      <c r="H123" s="1" t="s">
        <v>338</v>
      </c>
      <c r="I123" s="2">
        <v>46086.224188403692</v>
      </c>
      <c r="J123" s="1" t="s">
        <v>330</v>
      </c>
      <c r="K123" s="1">
        <v>28</v>
      </c>
      <c r="L123" s="1" t="s">
        <v>619</v>
      </c>
      <c r="M123" s="1" t="s">
        <v>620</v>
      </c>
      <c r="O123" s="1" t="s">
        <v>2</v>
      </c>
      <c r="P123" s="1">
        <v>0</v>
      </c>
      <c r="R123" s="2">
        <v>46069.471236190868</v>
      </c>
      <c r="S123">
        <f t="shared" si="4"/>
        <v>0</v>
      </c>
      <c r="T123">
        <f t="shared" si="5"/>
        <v>1</v>
      </c>
      <c r="U123">
        <f t="shared" si="6"/>
        <v>1</v>
      </c>
      <c r="V123" cm="1">
        <f t="array" ref="V123">IF(OR(H123="",Q123=""),
   0,
   SUM(--ISNUMBER(MATCH(TRIM(_xlfn.TEXTSPLIT(H123,";")),TRIM(_xlfn.TEXTSPLIT(Q123,";")),0)))
)</f>
        <v>0</v>
      </c>
      <c r="W123">
        <f t="shared" si="7"/>
        <v>1</v>
      </c>
    </row>
    <row r="124" spans="1:23" ht="15.75" customHeight="1" x14ac:dyDescent="0.15">
      <c r="J124" s="1"/>
      <c r="K124" s="1"/>
      <c r="L124" s="1"/>
      <c r="M124" s="1"/>
      <c r="O124" s="1"/>
      <c r="P124" s="1"/>
      <c r="R124" s="2"/>
    </row>
    <row r="125" spans="1:23" ht="15.75" customHeight="1" x14ac:dyDescent="0.15">
      <c r="J125" s="1"/>
      <c r="K125" s="1"/>
      <c r="L125" s="1"/>
      <c r="M125" s="1"/>
      <c r="O125" s="1"/>
      <c r="P125" s="1"/>
      <c r="R125" s="2"/>
    </row>
    <row r="126" spans="1:23" ht="15.75" customHeight="1" x14ac:dyDescent="0.15">
      <c r="J126" s="1"/>
      <c r="K126" s="1"/>
      <c r="L126" s="1"/>
      <c r="M126" s="1"/>
      <c r="O126" s="1"/>
      <c r="P126" s="1"/>
      <c r="R126" s="2"/>
    </row>
    <row r="127" spans="1:23" ht="15.75" customHeight="1" x14ac:dyDescent="0.15">
      <c r="J127" s="1"/>
      <c r="K127" s="1"/>
      <c r="L127" s="1"/>
      <c r="M127" s="1"/>
      <c r="O127" s="1"/>
      <c r="P127" s="1"/>
      <c r="R127" s="2"/>
    </row>
    <row r="128" spans="1:23" ht="15.75" customHeight="1" x14ac:dyDescent="0.15">
      <c r="J128" s="1"/>
      <c r="K128" s="1"/>
      <c r="L128" s="1"/>
      <c r="M128" s="1"/>
      <c r="O128" s="1"/>
      <c r="P128" s="1"/>
      <c r="Q128" s="1"/>
      <c r="R128" s="2"/>
    </row>
    <row r="129" spans="10:18" ht="15.75" customHeight="1" x14ac:dyDescent="0.15">
      <c r="J129" s="1"/>
      <c r="K129" s="1"/>
      <c r="L129" s="1"/>
      <c r="M129" s="1"/>
      <c r="O129" s="1"/>
      <c r="P129" s="1"/>
      <c r="Q129" s="1"/>
      <c r="R129" s="2"/>
    </row>
    <row r="130" spans="10:18" ht="15.75" customHeight="1" x14ac:dyDescent="0.15">
      <c r="J130" s="1"/>
      <c r="K130" s="1"/>
      <c r="L130" s="1"/>
      <c r="M130" s="1"/>
      <c r="O130" s="1"/>
      <c r="P130" s="1"/>
      <c r="Q130" s="1"/>
      <c r="R130" s="2"/>
    </row>
    <row r="131" spans="10:18" ht="15.75" customHeight="1" x14ac:dyDescent="0.15">
      <c r="J131" s="1"/>
      <c r="K131" s="1"/>
      <c r="L131" s="1"/>
      <c r="M131" s="1"/>
      <c r="O131" s="1"/>
      <c r="P131" s="1"/>
      <c r="Q131" s="1"/>
      <c r="R131" s="2"/>
    </row>
    <row r="132" spans="10:18" ht="15.75" customHeight="1" x14ac:dyDescent="0.15">
      <c r="J132" s="1"/>
      <c r="K132" s="1"/>
      <c r="L132" s="1"/>
      <c r="M132" s="1"/>
      <c r="O132" s="1"/>
      <c r="P132" s="1"/>
      <c r="Q132" s="1"/>
      <c r="R132" s="2"/>
    </row>
    <row r="133" spans="10:18" ht="15.75" customHeight="1" x14ac:dyDescent="0.15">
      <c r="J133" s="1"/>
      <c r="K133" s="1"/>
      <c r="L133" s="1"/>
      <c r="M133" s="1"/>
      <c r="O133" s="1"/>
      <c r="P133" s="1"/>
      <c r="R133" s="2"/>
    </row>
    <row r="134" spans="10:18" ht="15.75" customHeight="1" x14ac:dyDescent="0.15">
      <c r="J134" s="1"/>
      <c r="K134" s="1"/>
      <c r="L134" s="1"/>
      <c r="M134" s="1"/>
      <c r="O134" s="1"/>
      <c r="P134" s="1"/>
      <c r="R134" s="2"/>
    </row>
    <row r="135" spans="10:18" ht="15.75" customHeight="1" x14ac:dyDescent="0.15">
      <c r="J135" s="1"/>
      <c r="K135" s="1"/>
      <c r="L135" s="1"/>
      <c r="M135" s="1"/>
      <c r="O135" s="1"/>
      <c r="P135" s="1"/>
      <c r="R135" s="2"/>
    </row>
    <row r="136" spans="10:18" ht="15.75" customHeight="1" x14ac:dyDescent="0.15">
      <c r="J136" s="1"/>
      <c r="K136" s="1"/>
      <c r="L136" s="1"/>
      <c r="M136" s="1"/>
      <c r="O136" s="1"/>
      <c r="P136" s="1"/>
      <c r="R136" s="2"/>
    </row>
    <row r="137" spans="10:18" ht="15.75" customHeight="1" x14ac:dyDescent="0.15">
      <c r="J137" s="1"/>
      <c r="K137" s="1"/>
      <c r="L137" s="1"/>
      <c r="M137" s="1"/>
      <c r="O137" s="1"/>
      <c r="P137" s="1"/>
      <c r="Q137" s="1"/>
      <c r="R137" s="2"/>
    </row>
    <row r="138" spans="10:18" ht="15.75" customHeight="1" x14ac:dyDescent="0.15">
      <c r="J138" s="1"/>
      <c r="K138" s="1"/>
      <c r="L138" s="1"/>
      <c r="M138" s="1"/>
      <c r="O138" s="1"/>
      <c r="P138" s="1"/>
      <c r="R138" s="2"/>
    </row>
    <row r="139" spans="10:18" ht="15.75" customHeight="1" x14ac:dyDescent="0.15">
      <c r="J139" s="1"/>
      <c r="K139" s="1"/>
      <c r="L139" s="1"/>
      <c r="M139" s="1"/>
      <c r="O139" s="1"/>
      <c r="P139" s="1"/>
      <c r="Q139" s="1"/>
      <c r="R139" s="2"/>
    </row>
    <row r="140" spans="10:18" ht="15.75" customHeight="1" x14ac:dyDescent="0.15">
      <c r="J140" s="1"/>
      <c r="K140" s="1"/>
      <c r="L140" s="1"/>
      <c r="M140" s="1"/>
      <c r="O140" s="1"/>
      <c r="P140" s="1"/>
      <c r="Q140" s="1"/>
      <c r="R140" s="2"/>
    </row>
    <row r="141" spans="10:18" ht="15.75" customHeight="1" x14ac:dyDescent="0.15">
      <c r="J141" s="1"/>
      <c r="K141" s="1"/>
      <c r="L141" s="1"/>
      <c r="M141" s="1"/>
      <c r="O141" s="1"/>
      <c r="P141" s="1"/>
      <c r="R141" s="2"/>
    </row>
    <row r="142" spans="10:18" ht="15.75" customHeight="1" x14ac:dyDescent="0.15">
      <c r="J142" s="1"/>
      <c r="K142" s="1"/>
      <c r="L142" s="1"/>
      <c r="M142" s="1"/>
      <c r="O142" s="1"/>
      <c r="P142" s="1"/>
      <c r="Q142" s="1"/>
      <c r="R142" s="2"/>
    </row>
    <row r="143" spans="10:18" ht="15.75" customHeight="1" x14ac:dyDescent="0.15">
      <c r="J143" s="1"/>
      <c r="K143" s="1"/>
      <c r="L143" s="1"/>
      <c r="M143" s="1"/>
      <c r="O143" s="1"/>
      <c r="P143" s="1"/>
      <c r="R143" s="2"/>
    </row>
    <row r="144" spans="10:18" ht="15.75" customHeight="1" x14ac:dyDescent="0.15">
      <c r="J144" s="1"/>
      <c r="K144" s="1"/>
      <c r="L144" s="1"/>
      <c r="M144" s="1"/>
      <c r="O144" s="1"/>
      <c r="P144" s="1"/>
      <c r="Q144" s="1"/>
      <c r="R144" s="2"/>
    </row>
    <row r="145" spans="10:18" ht="15.75" customHeight="1" x14ac:dyDescent="0.15">
      <c r="J145" s="1"/>
      <c r="K145" s="1"/>
      <c r="L145" s="1"/>
      <c r="M145" s="1"/>
      <c r="O145" s="1"/>
      <c r="P145" s="1"/>
      <c r="Q145" s="1"/>
      <c r="R145" s="2"/>
    </row>
    <row r="146" spans="10:18" ht="15.75" customHeight="1" x14ac:dyDescent="0.15">
      <c r="J146" s="1"/>
      <c r="K146" s="1"/>
      <c r="L146" s="1"/>
      <c r="M146" s="1"/>
      <c r="O146" s="1"/>
      <c r="P146" s="1"/>
      <c r="R146" s="2"/>
    </row>
    <row r="147" spans="10:18" ht="15.75" customHeight="1" x14ac:dyDescent="0.15">
      <c r="J147" s="1"/>
      <c r="K147" s="1"/>
      <c r="L147" s="1"/>
      <c r="M147" s="1"/>
      <c r="O147" s="1"/>
      <c r="P147" s="1"/>
      <c r="Q147" s="1"/>
      <c r="R147" s="2"/>
    </row>
    <row r="148" spans="10:18" ht="15.75" customHeight="1" x14ac:dyDescent="0.15">
      <c r="J148" s="1"/>
      <c r="K148" s="1"/>
      <c r="L148" s="1"/>
      <c r="M148" s="1"/>
      <c r="O148" s="1"/>
      <c r="P148" s="1"/>
      <c r="R148" s="2"/>
    </row>
    <row r="149" spans="10:18" ht="15.75" customHeight="1" x14ac:dyDescent="0.15">
      <c r="J149" s="1"/>
      <c r="K149" s="1"/>
      <c r="L149" s="1"/>
      <c r="M149" s="1"/>
      <c r="O149" s="1"/>
      <c r="P149" s="1"/>
      <c r="Q149" s="1"/>
      <c r="R149" s="2"/>
    </row>
    <row r="150" spans="10:18" ht="15.75" customHeight="1" x14ac:dyDescent="0.15">
      <c r="J150" s="1"/>
      <c r="K150" s="1"/>
      <c r="L150" s="1"/>
      <c r="M150" s="1"/>
      <c r="O150" s="1"/>
      <c r="P150" s="1"/>
      <c r="Q150" s="1"/>
      <c r="R150" s="2"/>
    </row>
    <row r="151" spans="10:18" ht="15.75" customHeight="1" x14ac:dyDescent="0.15">
      <c r="J151" s="1"/>
      <c r="K151" s="1"/>
      <c r="L151" s="1"/>
      <c r="M151" s="1"/>
      <c r="O151" s="1"/>
      <c r="P151" s="1"/>
      <c r="R151" s="2"/>
    </row>
    <row r="152" spans="10:18" ht="15.75" customHeight="1" x14ac:dyDescent="0.15">
      <c r="J152" s="1"/>
      <c r="K152" s="1"/>
      <c r="L152" s="1"/>
      <c r="M152" s="1"/>
      <c r="O152" s="1"/>
      <c r="P152" s="1"/>
      <c r="R152" s="2"/>
    </row>
    <row r="153" spans="10:18" ht="15.75" customHeight="1" x14ac:dyDescent="0.15">
      <c r="J153" s="1"/>
      <c r="K153" s="1"/>
      <c r="L153" s="1"/>
      <c r="M153" s="1"/>
      <c r="O153" s="1"/>
      <c r="P153" s="1"/>
      <c r="Q153" s="1"/>
      <c r="R153" s="2"/>
    </row>
    <row r="154" spans="10:18" ht="15.75" customHeight="1" x14ac:dyDescent="0.15">
      <c r="J154" s="1"/>
      <c r="K154" s="1"/>
      <c r="L154" s="1"/>
      <c r="M154" s="1"/>
      <c r="O154" s="1"/>
      <c r="P154" s="1"/>
      <c r="Q154" s="1"/>
      <c r="R154" s="2"/>
    </row>
    <row r="155" spans="10:18" ht="15.75" customHeight="1" x14ac:dyDescent="0.15">
      <c r="J155" s="1"/>
      <c r="K155" s="1"/>
      <c r="L155" s="1"/>
      <c r="M155" s="1"/>
      <c r="O155" s="1"/>
      <c r="P155" s="1"/>
      <c r="Q155" s="1"/>
      <c r="R155" s="2"/>
    </row>
    <row r="156" spans="10:18" ht="15.75" customHeight="1" x14ac:dyDescent="0.15">
      <c r="J156" s="1"/>
      <c r="K156" s="1"/>
      <c r="L156" s="1"/>
      <c r="M156" s="1"/>
      <c r="O156" s="1"/>
      <c r="P156" s="1"/>
      <c r="R156" s="2"/>
    </row>
    <row r="157" spans="10:18" ht="15.75" customHeight="1" x14ac:dyDescent="0.15">
      <c r="J157" s="1"/>
      <c r="K157" s="1"/>
      <c r="L157" s="1"/>
      <c r="M157" s="1"/>
      <c r="O157" s="1"/>
      <c r="P157" s="1"/>
      <c r="Q157" s="1"/>
      <c r="R157" s="2"/>
    </row>
    <row r="158" spans="10:18" ht="15.75" customHeight="1" x14ac:dyDescent="0.15">
      <c r="J158" s="1"/>
      <c r="K158" s="1"/>
      <c r="L158" s="1"/>
      <c r="M158" s="1"/>
      <c r="O158" s="1"/>
      <c r="P158" s="1"/>
      <c r="Q158" s="1"/>
      <c r="R158" s="2"/>
    </row>
    <row r="159" spans="10:18" ht="15.75" customHeight="1" x14ac:dyDescent="0.15">
      <c r="J159" s="1"/>
      <c r="K159" s="1"/>
      <c r="L159" s="1"/>
      <c r="M159" s="1"/>
      <c r="O159" s="1"/>
      <c r="P159" s="1"/>
      <c r="Q159" s="1"/>
      <c r="R159" s="2"/>
    </row>
    <row r="160" spans="10:18" ht="15.75" customHeight="1" x14ac:dyDescent="0.15">
      <c r="J160" s="1"/>
      <c r="K160" s="1"/>
      <c r="L160" s="1"/>
      <c r="M160" s="1"/>
      <c r="O160" s="1"/>
      <c r="P160" s="1"/>
      <c r="Q160" s="1"/>
      <c r="R160" s="2"/>
    </row>
    <row r="161" spans="10:18" ht="15.75" customHeight="1" x14ac:dyDescent="0.15">
      <c r="J161" s="1"/>
      <c r="K161" s="1"/>
      <c r="L161" s="1"/>
      <c r="M161" s="1"/>
      <c r="O161" s="1"/>
      <c r="P161" s="1"/>
      <c r="R161" s="2"/>
    </row>
    <row r="162" spans="10:18" ht="15.75" customHeight="1" x14ac:dyDescent="0.15">
      <c r="J162" s="1"/>
      <c r="K162" s="1"/>
      <c r="L162" s="1"/>
      <c r="M162" s="1"/>
      <c r="O162" s="1"/>
      <c r="P162" s="1"/>
      <c r="R162" s="2"/>
    </row>
    <row r="163" spans="10:18" ht="15.75" customHeight="1" x14ac:dyDescent="0.15">
      <c r="J163" s="1"/>
      <c r="K163" s="1"/>
      <c r="L163" s="1"/>
      <c r="M163" s="1"/>
      <c r="O163" s="1"/>
      <c r="P163" s="1"/>
      <c r="Q163" s="1"/>
      <c r="R163" s="2"/>
    </row>
    <row r="164" spans="10:18" ht="15.75" customHeight="1" x14ac:dyDescent="0.15">
      <c r="J164" s="1"/>
      <c r="K164" s="1"/>
      <c r="L164" s="1"/>
      <c r="M164" s="1"/>
      <c r="O164" s="1"/>
      <c r="P164" s="1"/>
      <c r="R164" s="2"/>
    </row>
    <row r="165" spans="10:18" ht="15.75" customHeight="1" x14ac:dyDescent="0.15">
      <c r="J165" s="1"/>
      <c r="K165" s="1"/>
      <c r="L165" s="1"/>
      <c r="M165" s="1"/>
      <c r="O165" s="1"/>
      <c r="P165" s="1"/>
      <c r="Q165" s="1"/>
      <c r="R165" s="2"/>
    </row>
    <row r="166" spans="10:18" ht="15.75" customHeight="1" x14ac:dyDescent="0.15">
      <c r="J166" s="1"/>
      <c r="K166" s="1"/>
      <c r="L166" s="1"/>
      <c r="M166" s="1"/>
      <c r="O166" s="1"/>
      <c r="P166" s="1"/>
      <c r="Q166" s="1"/>
      <c r="R166" s="2"/>
    </row>
    <row r="167" spans="10:18" ht="15.75" customHeight="1" x14ac:dyDescent="0.15">
      <c r="J167" s="1"/>
      <c r="K167" s="1"/>
      <c r="L167" s="1"/>
      <c r="M167" s="1"/>
      <c r="O167" s="1"/>
      <c r="P167" s="1"/>
      <c r="Q167" s="1"/>
      <c r="R167" s="2"/>
    </row>
    <row r="168" spans="10:18" ht="15.75" customHeight="1" x14ac:dyDescent="0.15">
      <c r="J168" s="1"/>
      <c r="K168" s="1"/>
      <c r="L168" s="1"/>
      <c r="M168" s="1"/>
      <c r="O168" s="1"/>
      <c r="P168" s="1"/>
      <c r="R168" s="2"/>
    </row>
    <row r="169" spans="10:18" ht="15.75" customHeight="1" x14ac:dyDescent="0.15">
      <c r="J169" s="1"/>
      <c r="K169" s="1"/>
      <c r="L169" s="1"/>
      <c r="M169" s="1"/>
      <c r="O169" s="1"/>
      <c r="P169" s="1"/>
      <c r="Q169" s="1"/>
      <c r="R169" s="2"/>
    </row>
    <row r="170" spans="10:18" ht="15.75" customHeight="1" x14ac:dyDescent="0.15">
      <c r="J170" s="1"/>
      <c r="K170" s="1"/>
      <c r="L170" s="1"/>
      <c r="M170" s="1"/>
      <c r="O170" s="1"/>
      <c r="P170" s="1"/>
      <c r="R170" s="2"/>
    </row>
    <row r="171" spans="10:18" ht="15.75" customHeight="1" x14ac:dyDescent="0.15">
      <c r="J171" s="1"/>
      <c r="K171" s="1"/>
      <c r="L171" s="1"/>
      <c r="M171" s="1"/>
      <c r="O171" s="1"/>
      <c r="P171" s="1"/>
      <c r="R171" s="2"/>
    </row>
    <row r="172" spans="10:18" ht="15.75" customHeight="1" x14ac:dyDescent="0.15">
      <c r="J172" s="1"/>
      <c r="K172" s="1"/>
      <c r="L172" s="1"/>
      <c r="M172" s="1"/>
      <c r="O172" s="1"/>
      <c r="P172" s="1"/>
      <c r="Q172" s="1"/>
      <c r="R172" s="2"/>
    </row>
    <row r="173" spans="10:18" ht="15.75" customHeight="1" x14ac:dyDescent="0.15">
      <c r="J173" s="1"/>
      <c r="K173" s="1"/>
      <c r="L173" s="1"/>
      <c r="M173" s="1"/>
      <c r="O173" s="1"/>
      <c r="P173" s="1"/>
      <c r="Q173" s="1"/>
      <c r="R173" s="2"/>
    </row>
    <row r="174" spans="10:18" ht="15.75" customHeight="1" x14ac:dyDescent="0.15">
      <c r="J174" s="1"/>
      <c r="K174" s="1"/>
      <c r="L174" s="1"/>
      <c r="M174" s="1"/>
      <c r="O174" s="1"/>
      <c r="P174" s="1"/>
      <c r="R174" s="2"/>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gemini_pro_bullet_prompt_result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2026-03-07T07:02:21Z</dcterms:modified>
</cp:coreProperties>
</file>